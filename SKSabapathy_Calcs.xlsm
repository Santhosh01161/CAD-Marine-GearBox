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Santhosh\UNIVERSITY\Modules Year 2\Design, Manufacture And Project\Gear BOX\New folder\"/>
    </mc:Choice>
  </mc:AlternateContent>
  <xr:revisionPtr revIDLastSave="0" documentId="13_ncr:1_{CDD5FA32-5BA4-472D-AFD0-B8B47EC9190D}" xr6:coauthVersionLast="43" xr6:coauthVersionMax="43" xr10:uidLastSave="{00000000-0000-0000-0000-000000000000}"/>
  <bookViews>
    <workbookView xWindow="-110" yWindow="-110" windowWidth="19420" windowHeight="10420" tabRatio="661" xr2:uid="{00000000-000D-0000-FFFF-FFFF00000000}"/>
  </bookViews>
  <sheets>
    <sheet name="Gear Calc (Input Sheet)" sheetId="9" r:id="rId1"/>
    <sheet name="Gear Calc (Output Sheet)" sheetId="10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3" i="10" l="1"/>
  <c r="D83" i="10"/>
  <c r="E82" i="10"/>
  <c r="D82" i="10"/>
  <c r="E80" i="10"/>
  <c r="D80" i="10"/>
  <c r="E79" i="10"/>
  <c r="D79" i="10"/>
  <c r="D78" i="10"/>
  <c r="D77" i="10"/>
  <c r="E76" i="10"/>
  <c r="D76" i="10"/>
  <c r="E75" i="10"/>
  <c r="E74" i="10"/>
  <c r="D74" i="10"/>
  <c r="E73" i="10"/>
  <c r="D73" i="10"/>
  <c r="E72" i="10"/>
  <c r="D72" i="10"/>
  <c r="E71" i="10"/>
  <c r="D71" i="10"/>
  <c r="E70" i="10"/>
  <c r="D70" i="10"/>
  <c r="E69" i="10"/>
  <c r="E66" i="10"/>
  <c r="D66" i="10"/>
  <c r="E65" i="10"/>
  <c r="D65" i="10"/>
  <c r="E64" i="10"/>
  <c r="D64" i="10"/>
  <c r="E63" i="10"/>
  <c r="D63" i="10"/>
  <c r="E61" i="10"/>
  <c r="D61" i="10"/>
  <c r="E60" i="10"/>
  <c r="D60" i="10"/>
  <c r="E58" i="10"/>
  <c r="D58" i="10"/>
  <c r="D57" i="10"/>
  <c r="E56" i="10"/>
  <c r="D56" i="10"/>
  <c r="D55" i="10"/>
  <c r="D54" i="10"/>
  <c r="D52" i="10"/>
  <c r="E50" i="10"/>
  <c r="D50" i="10"/>
  <c r="D49" i="10"/>
  <c r="J48" i="10"/>
  <c r="I48" i="10"/>
  <c r="D48" i="10"/>
  <c r="J47" i="10"/>
  <c r="I47" i="10"/>
  <c r="D47" i="10"/>
  <c r="E46" i="10"/>
  <c r="D46" i="10"/>
  <c r="E43" i="10"/>
  <c r="D43" i="10"/>
  <c r="J42" i="10"/>
  <c r="E42" i="10"/>
  <c r="D42" i="10"/>
  <c r="J41" i="10"/>
  <c r="E41" i="10"/>
  <c r="D41" i="10"/>
  <c r="E40" i="10"/>
  <c r="D40" i="10"/>
  <c r="E39" i="10"/>
  <c r="D39" i="10"/>
  <c r="E38" i="10"/>
  <c r="D38" i="10"/>
  <c r="E37" i="10"/>
  <c r="D37" i="10"/>
  <c r="E34" i="10"/>
  <c r="D34" i="10"/>
  <c r="E32" i="10"/>
  <c r="D32" i="10"/>
  <c r="E29" i="10"/>
  <c r="D29" i="10"/>
  <c r="E28" i="10"/>
  <c r="D28" i="10"/>
  <c r="E27" i="10"/>
  <c r="D27" i="10"/>
  <c r="E26" i="10"/>
  <c r="D26" i="10"/>
  <c r="D25" i="10"/>
  <c r="D24" i="10"/>
  <c r="D23" i="10"/>
  <c r="E21" i="10"/>
  <c r="D21" i="10"/>
  <c r="E20" i="10"/>
  <c r="D20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L12" i="10"/>
  <c r="K12" i="10"/>
  <c r="J12" i="10"/>
  <c r="I12" i="10"/>
  <c r="E12" i="10"/>
  <c r="D12" i="10"/>
  <c r="K11" i="10"/>
  <c r="E11" i="10"/>
  <c r="D11" i="10"/>
  <c r="K10" i="10"/>
  <c r="E10" i="10"/>
  <c r="D10" i="10"/>
  <c r="K9" i="10"/>
  <c r="E9" i="10"/>
  <c r="D9" i="10"/>
  <c r="K8" i="10"/>
  <c r="D8" i="10"/>
  <c r="E7" i="10"/>
  <c r="D7" i="10"/>
  <c r="E40" i="9"/>
  <c r="D40" i="9"/>
  <c r="E39" i="9"/>
  <c r="D39" i="9"/>
  <c r="E19" i="9"/>
  <c r="D19" i="9"/>
  <c r="E17" i="9"/>
  <c r="D17" i="9"/>
  <c r="L42" i="10"/>
  <c r="L41" i="10"/>
  <c r="D51" i="10" l="1"/>
  <c r="E51" i="10"/>
</calcChain>
</file>

<file path=xl/sharedStrings.xml><?xml version="1.0" encoding="utf-8"?>
<sst xmlns="http://schemas.openxmlformats.org/spreadsheetml/2006/main" count="274" uniqueCount="178">
  <si>
    <t>Geometry</t>
  </si>
  <si>
    <t>Module</t>
  </si>
  <si>
    <t>m</t>
  </si>
  <si>
    <t>Speed ratio</t>
  </si>
  <si>
    <t>n</t>
  </si>
  <si>
    <t>rpm</t>
  </si>
  <si>
    <t>Driving</t>
  </si>
  <si>
    <t xml:space="preserve">Driven </t>
  </si>
  <si>
    <t>d</t>
  </si>
  <si>
    <t>Rotational velocity</t>
  </si>
  <si>
    <t>w</t>
  </si>
  <si>
    <t>Pitch line velocity</t>
  </si>
  <si>
    <t>Shaft separation</t>
  </si>
  <si>
    <t>Power</t>
  </si>
  <si>
    <t>H</t>
  </si>
  <si>
    <t>Face width</t>
  </si>
  <si>
    <t>f</t>
  </si>
  <si>
    <t>Tangential force</t>
  </si>
  <si>
    <t>Bending stress</t>
  </si>
  <si>
    <t>Bending fatigue strength</t>
  </si>
  <si>
    <t>Life factor</t>
  </si>
  <si>
    <t>Reliability factor</t>
  </si>
  <si>
    <t>Allowable contact stress</t>
  </si>
  <si>
    <t>Number of teeth</t>
  </si>
  <si>
    <t>Speeds</t>
  </si>
  <si>
    <t>HB</t>
  </si>
  <si>
    <t>Contact Stress</t>
  </si>
  <si>
    <t>Material</t>
  </si>
  <si>
    <t>Brinell Hardness</t>
  </si>
  <si>
    <t>Addendum</t>
  </si>
  <si>
    <t>Dedendum</t>
  </si>
  <si>
    <t>Rack</t>
  </si>
  <si>
    <t>Tooth Form</t>
  </si>
  <si>
    <t>A</t>
  </si>
  <si>
    <t>B</t>
  </si>
  <si>
    <t>rad</t>
  </si>
  <si>
    <t>W</t>
  </si>
  <si>
    <t>mm</t>
  </si>
  <si>
    <t>N</t>
  </si>
  <si>
    <t>E</t>
  </si>
  <si>
    <t>deg</t>
  </si>
  <si>
    <t>Driving gear</t>
  </si>
  <si>
    <t>Driven gear</t>
  </si>
  <si>
    <t>b</t>
  </si>
  <si>
    <r>
      <t>K</t>
    </r>
    <r>
      <rPr>
        <i/>
        <vertAlign val="subscript"/>
        <sz val="10"/>
        <rFont val="Arial"/>
        <family val="2"/>
      </rPr>
      <t>O</t>
    </r>
  </si>
  <si>
    <r>
      <t>Y</t>
    </r>
    <r>
      <rPr>
        <i/>
        <vertAlign val="subscript"/>
        <sz val="10"/>
        <rFont val="Arial"/>
        <family val="2"/>
      </rPr>
      <t>J</t>
    </r>
  </si>
  <si>
    <t>MPa</t>
  </si>
  <si>
    <t>Pressure Angle</t>
  </si>
  <si>
    <t>Allowable Bending</t>
  </si>
  <si>
    <r>
      <t>Z</t>
    </r>
    <r>
      <rPr>
        <i/>
        <vertAlign val="subscript"/>
        <sz val="10"/>
        <rFont val="Arial"/>
        <family val="2"/>
      </rPr>
      <t>N</t>
    </r>
  </si>
  <si>
    <r>
      <t>Y</t>
    </r>
    <r>
      <rPr>
        <i/>
        <vertAlign val="subscript"/>
        <sz val="10"/>
        <rFont val="Arial"/>
        <family val="2"/>
      </rPr>
      <t>N</t>
    </r>
  </si>
  <si>
    <t>Hardness</t>
  </si>
  <si>
    <t>S</t>
  </si>
  <si>
    <r>
      <t>Z</t>
    </r>
    <r>
      <rPr>
        <i/>
        <vertAlign val="subscript"/>
        <sz val="10"/>
        <rFont val="Arial"/>
        <family val="2"/>
      </rPr>
      <t>R</t>
    </r>
  </si>
  <si>
    <t>Allowables</t>
  </si>
  <si>
    <t>Stress calculations</t>
  </si>
  <si>
    <t>Overload Factor</t>
  </si>
  <si>
    <t>Dynamic factor</t>
  </si>
  <si>
    <t>Size factor</t>
  </si>
  <si>
    <t>Uncrowned</t>
  </si>
  <si>
    <t>Crowned</t>
  </si>
  <si>
    <t>Assembly adjusted</t>
  </si>
  <si>
    <t>Yes</t>
  </si>
  <si>
    <t>No</t>
  </si>
  <si>
    <t>AGMA Safety factor</t>
  </si>
  <si>
    <t>Poissons ratio</t>
  </si>
  <si>
    <t xml:space="preserve">Elastic coefficient </t>
  </si>
  <si>
    <t xml:space="preserve">Surface condition </t>
  </si>
  <si>
    <t>Temperature</t>
  </si>
  <si>
    <t>Reliability</t>
  </si>
  <si>
    <t>AGMA safety factor</t>
  </si>
  <si>
    <t xml:space="preserve">Hardness ratio </t>
  </si>
  <si>
    <t>Reserve Factor Contact Stress</t>
  </si>
  <si>
    <t>Reserve Factor Bending Stress</t>
  </si>
  <si>
    <t>Pitch circle diameter</t>
  </si>
  <si>
    <t>Crowned/Uncrowned</t>
  </si>
  <si>
    <t>Precision/Commercial</t>
  </si>
  <si>
    <t>Gear Design Spreadsheet - Input</t>
  </si>
  <si>
    <t>MM2DM2</t>
  </si>
  <si>
    <t>Units</t>
  </si>
  <si>
    <t>gear #1</t>
  </si>
  <si>
    <t>gear #2</t>
  </si>
  <si>
    <t>Design choice</t>
  </si>
  <si>
    <t>Given</t>
  </si>
  <si>
    <t>Open gearing</t>
  </si>
  <si>
    <t>Commercial enclosed units</t>
  </si>
  <si>
    <t>Precision enclosed units</t>
  </si>
  <si>
    <t>AGMA Grade</t>
  </si>
  <si>
    <t>Extra-precision enclosed units</t>
  </si>
  <si>
    <t>Geometry Bending Strength Factor</t>
  </si>
  <si>
    <t>%/100</t>
  </si>
  <si>
    <t>Pitting Resistance factor</t>
  </si>
  <si>
    <t>Nitrided</t>
  </si>
  <si>
    <t>Through hardened</t>
  </si>
  <si>
    <r>
      <t>Y</t>
    </r>
    <r>
      <rPr>
        <i/>
        <vertAlign val="subscript"/>
        <sz val="10"/>
        <rFont val="Symbol"/>
        <family val="1"/>
        <charset val="2"/>
      </rPr>
      <t>q</t>
    </r>
  </si>
  <si>
    <r>
      <t>Set to 1 as temperature is maitained at 120</t>
    </r>
    <r>
      <rPr>
        <vertAlign val="superscript"/>
        <sz val="10"/>
        <color rgb="FF0070C0"/>
        <rFont val="Arial"/>
        <family val="2"/>
      </rPr>
      <t>o</t>
    </r>
    <r>
      <rPr>
        <sz val="10"/>
        <color rgb="FF0070C0"/>
        <rFont val="Arial"/>
        <family val="2"/>
      </rPr>
      <t>C</t>
    </r>
  </si>
  <si>
    <t>Bearing span</t>
  </si>
  <si>
    <t>Gear to half span</t>
  </si>
  <si>
    <r>
      <t>S</t>
    </r>
    <r>
      <rPr>
        <i/>
        <vertAlign val="subscript"/>
        <sz val="10"/>
        <rFont val="Arial"/>
        <family val="2"/>
      </rPr>
      <t>1</t>
    </r>
  </si>
  <si>
    <t>UTS</t>
  </si>
  <si>
    <t xml:space="preserve">Yield </t>
  </si>
  <si>
    <t>Heat treatment</t>
  </si>
  <si>
    <t>Youngs Modulus</t>
  </si>
  <si>
    <t>GPa</t>
  </si>
  <si>
    <t>AGMA suggests a value of 1 where no detrimental surface condtion exists</t>
  </si>
  <si>
    <t>Yq</t>
  </si>
  <si>
    <t>Gear Design Spreadsheet - Output</t>
  </si>
  <si>
    <t>Define the Geometry</t>
  </si>
  <si>
    <t>#1</t>
  </si>
  <si>
    <t>#2</t>
  </si>
  <si>
    <t>C</t>
  </si>
  <si>
    <t>Z</t>
  </si>
  <si>
    <t>Rotational speed</t>
  </si>
  <si>
    <t>Diamteral pitch</t>
  </si>
  <si>
    <t>P</t>
  </si>
  <si>
    <t>in</t>
  </si>
  <si>
    <t>a</t>
  </si>
  <si>
    <t>F</t>
  </si>
  <si>
    <t>Gear Quality and Assembly</t>
  </si>
  <si>
    <t>Gear quality</t>
  </si>
  <si>
    <t>Span ratio</t>
  </si>
  <si>
    <t>AGMA transmission accuracy level</t>
  </si>
  <si>
    <t>Grade</t>
  </si>
  <si>
    <t>Dynamic factor variable A</t>
  </si>
  <si>
    <t>Dynamic factor variable B</t>
  </si>
  <si>
    <t>Mesh alignment correction factor</t>
  </si>
  <si>
    <t>Mesh Alignment Factor</t>
  </si>
  <si>
    <t>Face to 10 x diameter ratio</t>
  </si>
  <si>
    <t>Pinion proportion factor</t>
  </si>
  <si>
    <t>Pinion proportion modifier</t>
  </si>
  <si>
    <t>Load correction factor</t>
  </si>
  <si>
    <t>Load distribution factor</t>
  </si>
  <si>
    <t>Rim thickness factor</t>
  </si>
  <si>
    <t>σ</t>
  </si>
  <si>
    <t>A'</t>
  </si>
  <si>
    <t>Qv</t>
  </si>
  <si>
    <t>Y1</t>
  </si>
  <si>
    <t>Y2</t>
  </si>
  <si>
    <t>Yz</t>
  </si>
  <si>
    <t>Sf</t>
  </si>
  <si>
    <r>
      <t>V</t>
    </r>
    <r>
      <rPr>
        <i/>
        <vertAlign val="subscript"/>
        <sz val="10"/>
        <rFont val="Arial"/>
        <family val="2"/>
      </rPr>
      <t>pitch</t>
    </r>
  </si>
  <si>
    <r>
      <t>m</t>
    </r>
    <r>
      <rPr>
        <i/>
        <vertAlign val="subscript"/>
        <sz val="10"/>
        <rFont val="Arial"/>
        <family val="2"/>
      </rPr>
      <t>t</t>
    </r>
  </si>
  <si>
    <r>
      <t>S</t>
    </r>
    <r>
      <rPr>
        <i/>
        <vertAlign val="subscript"/>
        <sz val="10"/>
        <rFont val="Arial"/>
        <family val="2"/>
      </rPr>
      <t>r</t>
    </r>
  </si>
  <si>
    <r>
      <t>W</t>
    </r>
    <r>
      <rPr>
        <i/>
        <vertAlign val="subscript"/>
        <sz val="10"/>
        <rFont val="Arial"/>
        <family val="2"/>
      </rPr>
      <t>t</t>
    </r>
  </si>
  <si>
    <r>
      <t>S</t>
    </r>
    <r>
      <rPr>
        <i/>
        <vertAlign val="subscript"/>
        <sz val="10"/>
        <rFont val="Arial"/>
        <family val="2"/>
      </rPr>
      <t>t</t>
    </r>
  </si>
  <si>
    <r>
      <t>S</t>
    </r>
    <r>
      <rPr>
        <i/>
        <vertAlign val="subscript"/>
        <sz val="10"/>
        <rFont val="Arial"/>
        <family val="2"/>
      </rPr>
      <t>c</t>
    </r>
  </si>
  <si>
    <r>
      <t>Q</t>
    </r>
    <r>
      <rPr>
        <i/>
        <vertAlign val="subscript"/>
        <sz val="10"/>
        <rFont val="Arial"/>
        <family val="2"/>
      </rPr>
      <t>V</t>
    </r>
  </si>
  <si>
    <r>
      <t>K</t>
    </r>
    <r>
      <rPr>
        <i/>
        <vertAlign val="subscript"/>
        <sz val="10"/>
        <rFont val="Arial"/>
        <family val="2"/>
      </rPr>
      <t>V</t>
    </r>
  </si>
  <si>
    <r>
      <t>K</t>
    </r>
    <r>
      <rPr>
        <i/>
        <vertAlign val="subscript"/>
        <sz val="10"/>
        <rFont val="Arial"/>
        <family val="2"/>
      </rPr>
      <t>S</t>
    </r>
  </si>
  <si>
    <r>
      <t>C</t>
    </r>
    <r>
      <rPr>
        <i/>
        <vertAlign val="subscript"/>
        <sz val="10"/>
        <rFont val="Arial"/>
        <family val="2"/>
      </rPr>
      <t>e</t>
    </r>
  </si>
  <si>
    <r>
      <t>C</t>
    </r>
    <r>
      <rPr>
        <i/>
        <vertAlign val="subscript"/>
        <sz val="10"/>
        <rFont val="Arial"/>
        <family val="2"/>
      </rPr>
      <t>ma</t>
    </r>
  </si>
  <si>
    <r>
      <t>C</t>
    </r>
    <r>
      <rPr>
        <i/>
        <vertAlign val="subscript"/>
        <sz val="10"/>
        <rFont val="Arial"/>
        <family val="2"/>
      </rPr>
      <t>pf</t>
    </r>
  </si>
  <si>
    <r>
      <t>C</t>
    </r>
    <r>
      <rPr>
        <i/>
        <vertAlign val="subscript"/>
        <sz val="10"/>
        <rFont val="Arial"/>
        <family val="2"/>
      </rPr>
      <t>pm</t>
    </r>
  </si>
  <si>
    <r>
      <t>C</t>
    </r>
    <r>
      <rPr>
        <i/>
        <vertAlign val="subscript"/>
        <sz val="10"/>
        <rFont val="Arial"/>
        <family val="2"/>
      </rPr>
      <t>mc</t>
    </r>
  </si>
  <si>
    <r>
      <t>K</t>
    </r>
    <r>
      <rPr>
        <i/>
        <vertAlign val="subscript"/>
        <sz val="10"/>
        <rFont val="Arial"/>
        <family val="2"/>
      </rPr>
      <t>H</t>
    </r>
  </si>
  <si>
    <r>
      <t>K</t>
    </r>
    <r>
      <rPr>
        <i/>
        <vertAlign val="subscript"/>
        <sz val="10"/>
        <rFont val="Arial"/>
        <family val="2"/>
      </rPr>
      <t>B</t>
    </r>
  </si>
  <si>
    <r>
      <t>m</t>
    </r>
    <r>
      <rPr>
        <i/>
        <vertAlign val="subscript"/>
        <sz val="10"/>
        <rFont val="Arial"/>
        <family val="2"/>
      </rPr>
      <t>G</t>
    </r>
  </si>
  <si>
    <r>
      <t>Z</t>
    </r>
    <r>
      <rPr>
        <i/>
        <vertAlign val="subscript"/>
        <sz val="10"/>
        <rFont val="Arial"/>
        <family val="2"/>
      </rPr>
      <t>W</t>
    </r>
  </si>
  <si>
    <r>
      <t>σ</t>
    </r>
    <r>
      <rPr>
        <b/>
        <i/>
        <vertAlign val="subscript"/>
        <sz val="10"/>
        <rFont val="Arial"/>
        <family val="2"/>
      </rPr>
      <t>all,c</t>
    </r>
  </si>
  <si>
    <r>
      <t>s</t>
    </r>
    <r>
      <rPr>
        <i/>
        <vertAlign val="subscript"/>
        <sz val="10"/>
        <rFont val="Calibri"/>
        <family val="2"/>
        <scheme val="minor"/>
      </rPr>
      <t>uts</t>
    </r>
  </si>
  <si>
    <r>
      <t>s</t>
    </r>
    <r>
      <rPr>
        <i/>
        <vertAlign val="subscript"/>
        <sz val="10"/>
        <rFont val="Calibri"/>
        <family val="2"/>
        <scheme val="minor"/>
      </rPr>
      <t>yield</t>
    </r>
  </si>
  <si>
    <r>
      <t>n</t>
    </r>
    <r>
      <rPr>
        <vertAlign val="subscript"/>
        <sz val="10"/>
        <rFont val="Arial"/>
        <family val="2"/>
      </rPr>
      <t>1</t>
    </r>
  </si>
  <si>
    <r>
      <t>n</t>
    </r>
    <r>
      <rPr>
        <vertAlign val="subscript"/>
        <sz val="10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</si>
  <si>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Z</t>
    </r>
    <r>
      <rPr>
        <i/>
        <vertAlign val="subscript"/>
        <sz val="10"/>
        <rFont val="Arial"/>
        <family val="2"/>
      </rPr>
      <t>E</t>
    </r>
  </si>
  <si>
    <r>
      <t>Z</t>
    </r>
    <r>
      <rPr>
        <i/>
        <vertAlign val="subscript"/>
        <sz val="10"/>
        <rFont val="Arial"/>
        <family val="2"/>
      </rPr>
      <t>I</t>
    </r>
  </si>
  <si>
    <r>
      <t>σ</t>
    </r>
    <r>
      <rPr>
        <b/>
        <i/>
        <vertAlign val="subscript"/>
        <sz val="10"/>
        <rFont val="Arial"/>
        <family val="2"/>
      </rPr>
      <t>c</t>
    </r>
  </si>
  <si>
    <r>
      <t>σ</t>
    </r>
    <r>
      <rPr>
        <b/>
        <i/>
        <vertAlign val="subscript"/>
        <sz val="10"/>
        <rFont val="Arial"/>
        <family val="2"/>
      </rPr>
      <t>all,b</t>
    </r>
  </si>
  <si>
    <r>
      <t>Y</t>
    </r>
    <r>
      <rPr>
        <i/>
        <vertAlign val="subscript"/>
        <sz val="10"/>
        <rFont val="Arial"/>
        <family val="2"/>
      </rPr>
      <t>Z</t>
    </r>
  </si>
  <si>
    <r>
      <t>S</t>
    </r>
    <r>
      <rPr>
        <i/>
        <vertAlign val="subscript"/>
        <sz val="10"/>
        <rFont val="Arial"/>
        <family val="2"/>
      </rPr>
      <t>H</t>
    </r>
  </si>
  <si>
    <r>
      <t>m s</t>
    </r>
    <r>
      <rPr>
        <vertAlign val="superscript"/>
        <sz val="10"/>
        <rFont val="Arial"/>
        <family val="2"/>
      </rPr>
      <t>-1</t>
    </r>
  </si>
  <si>
    <r>
      <t>rad s</t>
    </r>
    <r>
      <rPr>
        <vertAlign val="superscript"/>
        <sz val="10"/>
        <rFont val="Arial"/>
        <family val="2"/>
      </rPr>
      <t>-1</t>
    </r>
  </si>
  <si>
    <t xml:space="preserve">AISI </t>
  </si>
  <si>
    <t>Involute</t>
  </si>
  <si>
    <t>Power and basic forces</t>
  </si>
  <si>
    <t>Torque</t>
  </si>
  <si>
    <t>T</t>
  </si>
  <si>
    <t>Nm</t>
  </si>
  <si>
    <t>Selected (in metric)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</si>
</sst>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00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"/>
      <family val="2"/>
    </font>
    <font>
      <i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sz val="10"/>
      <name val="Symbol"/>
      <family val="1"/>
      <charset val="2"/>
    </font>
    <font>
      <i/>
      <vertAlign val="subscript"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rgb="FF0000FF"/>
      <name val="Arial"/>
      <family val="2"/>
    </font>
    <font>
      <sz val="10"/>
      <color rgb="FFFF0000"/>
      <name val="Arial"/>
      <family val="2"/>
    </font>
    <font>
      <i/>
      <sz val="12"/>
      <name val="Symbol"/>
      <family val="1"/>
      <charset val="2"/>
    </font>
    <font>
      <sz val="10"/>
      <color rgb="FF0070C0"/>
      <name val="Arial"/>
      <family val="2"/>
    </font>
    <font>
      <i/>
      <vertAlign val="subscript"/>
      <sz val="10"/>
      <name val="Symbol"/>
      <family val="1"/>
      <charset val="2"/>
    </font>
    <font>
      <vertAlign val="superscript"/>
      <sz val="10"/>
      <color rgb="FF0070C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i/>
      <vertAlign val="subscript"/>
      <sz val="10"/>
      <name val="Calibri"/>
      <family val="2"/>
      <scheme val="minor"/>
    </font>
    <font>
      <vertAlign val="subscript"/>
      <sz val="10"/>
      <name val="Arial"/>
      <family val="2"/>
    </font>
    <font>
      <vertAlign val="super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6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>
      <alignment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 applyProtection="1">
      <alignment vertical="center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0" fillId="0" borderId="0" xfId="0" applyFill="1" applyAlignment="1">
      <alignment vertical="center"/>
    </xf>
    <xf numFmtId="0" fontId="14" fillId="0" borderId="0" xfId="0" applyFont="1" applyAlignment="1" applyProtection="1">
      <alignment horizontal="center" vertical="center"/>
    </xf>
    <xf numFmtId="2" fontId="12" fillId="0" borderId="0" xfId="0" applyNumberFormat="1" applyFont="1" applyFill="1" applyBorder="1" applyAlignment="1" applyProtection="1">
      <alignment horizontal="center" vertical="center"/>
      <protection locked="0"/>
    </xf>
    <xf numFmtId="165" fontId="0" fillId="0" borderId="0" xfId="0" applyNumberFormat="1" applyFill="1" applyAlignment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6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6" fillId="0" borderId="5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6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 applyProtection="1">
      <alignment vertical="center"/>
    </xf>
    <xf numFmtId="0" fontId="0" fillId="0" borderId="1" xfId="0" applyBorder="1" applyAlignment="1">
      <alignment horizontal="left" vertical="center"/>
    </xf>
    <xf numFmtId="0" fontId="6" fillId="0" borderId="0" xfId="0" applyFont="1" applyAlignment="1" applyProtection="1">
      <alignment horizontal="center" vertical="center"/>
      <protection locked="0"/>
    </xf>
    <xf numFmtId="0" fontId="12" fillId="2" borderId="0" xfId="0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 vertical="center"/>
    </xf>
    <xf numFmtId="164" fontId="12" fillId="0" borderId="0" xfId="0" applyNumberFormat="1" applyFont="1" applyFill="1" applyBorder="1" applyAlignment="1" applyProtection="1">
      <alignment horizontal="center" vertical="center"/>
      <protection locked="0"/>
    </xf>
    <xf numFmtId="164" fontId="12" fillId="0" borderId="0" xfId="0" applyNumberFormat="1" applyFont="1" applyFill="1" applyBorder="1" applyAlignment="1">
      <alignment horizontal="center" vertical="center"/>
    </xf>
    <xf numFmtId="164" fontId="12" fillId="2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165" fontId="12" fillId="2" borderId="0" xfId="0" applyNumberFormat="1" applyFont="1" applyFill="1" applyAlignment="1" applyProtection="1">
      <alignment horizontal="center" vertical="center"/>
      <protection locked="0"/>
    </xf>
    <xf numFmtId="165" fontId="12" fillId="0" borderId="0" xfId="0" applyNumberFormat="1" applyFont="1" applyFill="1" applyAlignment="1">
      <alignment horizontal="center" vertical="center"/>
    </xf>
    <xf numFmtId="0" fontId="12" fillId="2" borderId="0" xfId="0" applyFont="1" applyFill="1" applyAlignment="1" applyProtection="1">
      <alignment vertical="center"/>
      <protection locked="0"/>
    </xf>
    <xf numFmtId="0" fontId="12" fillId="0" borderId="0" xfId="0" applyFont="1" applyFill="1" applyAlignment="1">
      <alignment vertical="center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>
      <alignment horizontal="center" vertical="center"/>
    </xf>
    <xf numFmtId="0" fontId="12" fillId="2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165" fontId="12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 applyProtection="1">
      <alignment vertical="center"/>
    </xf>
    <xf numFmtId="0" fontId="18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5" fillId="0" borderId="0" xfId="0" applyNumberFormat="1" applyFont="1" applyAlignment="1" applyProtection="1">
      <alignment horizontal="center" vertical="center"/>
    </xf>
    <xf numFmtId="2" fontId="5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6" fillId="0" borderId="4" xfId="0" applyFont="1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center" vertical="center"/>
    </xf>
    <xf numFmtId="0" fontId="6" fillId="0" borderId="5" xfId="0" applyFont="1" applyBorder="1" applyAlignme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11" fontId="0" fillId="0" borderId="0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5" xfId="0" applyBorder="1" applyAlignment="1" applyProtection="1">
      <alignment vertical="center"/>
    </xf>
    <xf numFmtId="0" fontId="6" fillId="0" borderId="6" xfId="0" applyFont="1" applyBorder="1" applyAlignment="1" applyProtection="1">
      <alignment vertical="center"/>
    </xf>
    <xf numFmtId="0" fontId="0" fillId="0" borderId="7" xfId="0" applyBorder="1" applyAlignment="1" applyProtection="1">
      <alignment horizontal="center" vertical="center"/>
    </xf>
    <xf numFmtId="11" fontId="0" fillId="0" borderId="7" xfId="0" applyNumberFormat="1" applyBorder="1" applyAlignment="1" applyProtection="1">
      <alignment horizontal="center" vertical="center"/>
    </xf>
    <xf numFmtId="1" fontId="0" fillId="0" borderId="9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vertical="center"/>
    </xf>
    <xf numFmtId="0" fontId="6" fillId="0" borderId="3" xfId="0" applyFont="1" applyBorder="1" applyAlignment="1" applyProtection="1">
      <alignment horizontal="center" vertical="center"/>
    </xf>
    <xf numFmtId="0" fontId="6" fillId="0" borderId="5" xfId="0" applyFont="1" applyBorder="1" applyAlignment="1" applyProtection="1">
      <alignment horizontal="center" vertical="center"/>
    </xf>
    <xf numFmtId="0" fontId="6" fillId="0" borderId="3" xfId="0" applyFont="1" applyBorder="1" applyAlignment="1" applyProtection="1">
      <alignment vertical="center"/>
    </xf>
    <xf numFmtId="0" fontId="0" fillId="0" borderId="4" xfId="0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0" fontId="0" fillId="0" borderId="6" xfId="0" applyBorder="1" applyAlignment="1" applyProtection="1">
      <alignment vertical="center"/>
    </xf>
    <xf numFmtId="0" fontId="0" fillId="0" borderId="10" xfId="0" applyBorder="1" applyAlignment="1">
      <alignment vertical="center"/>
    </xf>
    <xf numFmtId="0" fontId="7" fillId="0" borderId="0" xfId="0" applyFont="1" applyAlignment="1">
      <alignment vertical="center"/>
    </xf>
    <xf numFmtId="164" fontId="0" fillId="0" borderId="0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vertical="center"/>
    </xf>
    <xf numFmtId="0" fontId="0" fillId="0" borderId="6" xfId="0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/>
      <protection locked="0"/>
    </xf>
    <xf numFmtId="0" fontId="6" fillId="0" borderId="4" xfId="0" applyFont="1" applyBorder="1" applyAlignment="1" applyProtection="1">
      <alignment horizontal="center"/>
    </xf>
    <xf numFmtId="164" fontId="0" fillId="0" borderId="8" xfId="0" applyNumberFormat="1" applyBorder="1" applyAlignment="1" applyProtection="1">
      <alignment horizontal="center"/>
    </xf>
    <xf numFmtId="0" fontId="6" fillId="0" borderId="6" xfId="0" applyFont="1" applyBorder="1" applyAlignment="1" applyProtection="1">
      <alignment horizontal="right"/>
      <protection locked="0"/>
    </xf>
    <xf numFmtId="0" fontId="6" fillId="0" borderId="7" xfId="0" applyFont="1" applyBorder="1" applyAlignment="1" applyProtection="1">
      <alignment horizontal="center"/>
    </xf>
    <xf numFmtId="164" fontId="0" fillId="0" borderId="9" xfId="0" applyNumberFormat="1" applyBorder="1" applyAlignment="1" applyProtection="1">
      <alignment horizontal="center"/>
    </xf>
    <xf numFmtId="0" fontId="6" fillId="0" borderId="11" xfId="0" applyFont="1" applyBorder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  <protection locked="0"/>
    </xf>
    <xf numFmtId="0" fontId="10" fillId="0" borderId="12" xfId="0" applyFont="1" applyBorder="1" applyAlignment="1">
      <alignment vertical="center"/>
    </xf>
    <xf numFmtId="0" fontId="7" fillId="0" borderId="13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11" fillId="0" borderId="15" xfId="0" applyFont="1" applyBorder="1" applyAlignment="1">
      <alignment vertical="center"/>
    </xf>
    <xf numFmtId="0" fontId="7" fillId="0" borderId="0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11" fillId="0" borderId="15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0" fillId="0" borderId="16" xfId="0" applyBorder="1" applyAlignment="1" applyProtection="1">
      <alignment vertical="center"/>
    </xf>
    <xf numFmtId="0" fontId="0" fillId="0" borderId="15" xfId="0" applyBorder="1" applyAlignment="1" applyProtection="1">
      <alignment vertical="center"/>
    </xf>
    <xf numFmtId="0" fontId="6" fillId="0" borderId="17" xfId="0" applyFont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1" fontId="0" fillId="0" borderId="0" xfId="0" applyNumberFormat="1" applyBorder="1" applyAlignment="1" applyProtection="1">
      <alignment horizontal="center" vertical="center"/>
    </xf>
    <xf numFmtId="0" fontId="6" fillId="0" borderId="15" xfId="0" applyFont="1" applyBorder="1" applyAlignment="1" applyProtection="1">
      <alignment vertical="center"/>
    </xf>
    <xf numFmtId="0" fontId="14" fillId="0" borderId="0" xfId="0" applyFont="1" applyBorder="1" applyAlignment="1" applyProtection="1">
      <alignment horizontal="center" vertical="center"/>
    </xf>
    <xf numFmtId="165" fontId="0" fillId="0" borderId="0" xfId="0" applyNumberFormat="1" applyBorder="1" applyAlignment="1" applyProtection="1">
      <alignment horizontal="center" vertical="center"/>
    </xf>
    <xf numFmtId="166" fontId="0" fillId="0" borderId="0" xfId="0" applyNumberFormat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6" fillId="0" borderId="0" xfId="0" applyFont="1" applyBorder="1" applyAlignment="1">
      <alignment horizontal="center" vertical="center"/>
    </xf>
    <xf numFmtId="2" fontId="0" fillId="0" borderId="0" xfId="0" applyNumberFormat="1" applyBorder="1" applyAlignment="1" applyProtection="1">
      <alignment horizontal="center" vertical="center"/>
    </xf>
    <xf numFmtId="164" fontId="0" fillId="0" borderId="17" xfId="0" applyNumberFormat="1" applyBorder="1" applyAlignment="1" applyProtection="1">
      <alignment vertical="center"/>
    </xf>
    <xf numFmtId="164" fontId="0" fillId="0" borderId="16" xfId="0" applyNumberFormat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/>
    </xf>
    <xf numFmtId="0" fontId="0" fillId="0" borderId="15" xfId="0" applyFont="1" applyBorder="1" applyAlignment="1" applyProtection="1">
      <alignment vertical="center"/>
    </xf>
    <xf numFmtId="0" fontId="6" fillId="0" borderId="15" xfId="0" applyFont="1" applyBorder="1" applyAlignment="1" applyProtection="1">
      <alignment horizontal="left" vertical="top" wrapText="1"/>
    </xf>
    <xf numFmtId="164" fontId="0" fillId="0" borderId="18" xfId="0" applyNumberFormat="1" applyBorder="1" applyAlignment="1" applyProtection="1">
      <alignment vertical="center"/>
    </xf>
    <xf numFmtId="0" fontId="8" fillId="0" borderId="0" xfId="0" applyFont="1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6" fillId="0" borderId="15" xfId="0" applyFont="1" applyBorder="1" applyProtection="1"/>
    <xf numFmtId="0" fontId="0" fillId="0" borderId="18" xfId="0" applyBorder="1" applyAlignment="1" applyProtection="1">
      <alignment vertical="center"/>
    </xf>
    <xf numFmtId="165" fontId="0" fillId="0" borderId="0" xfId="0" applyNumberFormat="1" applyBorder="1" applyAlignment="1" applyProtection="1">
      <alignment vertical="center"/>
    </xf>
    <xf numFmtId="2" fontId="0" fillId="0" borderId="16" xfId="0" applyNumberFormat="1" applyBorder="1" applyAlignment="1" applyProtection="1">
      <alignment horizontal="center" vertical="center"/>
    </xf>
    <xf numFmtId="0" fontId="6" fillId="0" borderId="15" xfId="0" applyFont="1" applyBorder="1" applyAlignment="1" applyProtection="1">
      <alignment horizontal="left" vertical="center"/>
    </xf>
    <xf numFmtId="2" fontId="6" fillId="2" borderId="0" xfId="0" applyNumberFormat="1" applyFont="1" applyFill="1" applyBorder="1" applyAlignment="1" applyProtection="1">
      <alignment horizontal="center" vertical="center"/>
    </xf>
    <xf numFmtId="2" fontId="6" fillId="0" borderId="0" xfId="0" applyNumberFormat="1" applyFont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vertical="center"/>
    </xf>
    <xf numFmtId="0" fontId="18" fillId="0" borderId="0" xfId="0" applyFont="1" applyBorder="1" applyAlignment="1" applyProtection="1">
      <alignment horizontal="center" vertical="center"/>
    </xf>
    <xf numFmtId="165" fontId="5" fillId="0" borderId="0" xfId="0" applyNumberFormat="1" applyFont="1" applyBorder="1" applyAlignment="1" applyProtection="1">
      <alignment horizontal="center" vertical="center"/>
    </xf>
    <xf numFmtId="2" fontId="5" fillId="0" borderId="0" xfId="0" applyNumberFormat="1" applyFont="1" applyBorder="1" applyAlignment="1" applyProtection="1">
      <alignment horizontal="center" vertical="center"/>
    </xf>
    <xf numFmtId="167" fontId="0" fillId="0" borderId="0" xfId="0" applyNumberFormat="1" applyBorder="1" applyAlignment="1" applyProtection="1">
      <alignment horizontal="center" vertical="center"/>
    </xf>
    <xf numFmtId="0" fontId="5" fillId="0" borderId="19" xfId="0" applyFont="1" applyBorder="1" applyAlignment="1" applyProtection="1">
      <alignment vertical="center"/>
    </xf>
    <xf numFmtId="0" fontId="18" fillId="0" borderId="20" xfId="0" applyFont="1" applyBorder="1" applyAlignment="1" applyProtection="1">
      <alignment horizontal="center" vertical="center"/>
    </xf>
    <xf numFmtId="0" fontId="6" fillId="0" borderId="20" xfId="0" applyFont="1" applyBorder="1" applyAlignment="1" applyProtection="1">
      <alignment horizontal="center" vertical="center"/>
    </xf>
    <xf numFmtId="2" fontId="5" fillId="0" borderId="20" xfId="0" applyNumberFormat="1" applyFont="1" applyBorder="1" applyAlignment="1" applyProtection="1">
      <alignment horizontal="center" vertical="center"/>
    </xf>
    <xf numFmtId="0" fontId="0" fillId="0" borderId="20" xfId="0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</cellXfs>
  <cellStyles count="2">
    <cellStyle name="Normal" xfId="0" builtinId="0"/>
    <cellStyle name="Normal 2" xfId="1" xr:uid="{5E7174EA-0B8B-484C-8446-A79A2869048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</xdr:colOff>
      <xdr:row>0</xdr:row>
      <xdr:rowOff>0</xdr:rowOff>
    </xdr:from>
    <xdr:to>
      <xdr:col>4</xdr:col>
      <xdr:colOff>431452</xdr:colOff>
      <xdr:row>2</xdr:row>
      <xdr:rowOff>111316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7560" y="0"/>
          <a:ext cx="1841152" cy="7437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114300</xdr:colOff>
      <xdr:row>0</xdr:row>
      <xdr:rowOff>0</xdr:rowOff>
    </xdr:from>
    <xdr:to>
      <xdr:col>4</xdr:col>
      <xdr:colOff>804832</xdr:colOff>
      <xdr:row>2</xdr:row>
      <xdr:rowOff>111316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660" y="0"/>
          <a:ext cx="1841152" cy="7437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47"/>
  <sheetViews>
    <sheetView tabSelected="1" workbookViewId="0">
      <selection activeCell="G21" sqref="G21:L21"/>
    </sheetView>
  </sheetViews>
  <sheetFormatPr defaultColWidth="8.90625" defaultRowHeight="15" customHeight="1" x14ac:dyDescent="0.25"/>
  <cols>
    <col min="1" max="1" width="29.90625" style="1" customWidth="1"/>
    <col min="2" max="2" width="8" style="5" customWidth="1"/>
    <col min="3" max="3" width="10.54296875" style="2" customWidth="1"/>
    <col min="4" max="5" width="20.6328125" style="2" customWidth="1"/>
    <col min="6" max="6" width="3.54296875" style="6" customWidth="1"/>
    <col min="7" max="8" width="9.08984375" style="1" customWidth="1"/>
    <col min="9" max="14" width="9.08984375" style="1"/>
    <col min="15" max="15" width="11.6328125" style="1" customWidth="1"/>
    <col min="16" max="19" width="9.08984375" style="1" customWidth="1"/>
    <col min="20" max="16384" width="8.90625" style="1"/>
  </cols>
  <sheetData>
    <row r="1" spans="1:17" ht="30" customHeight="1" x14ac:dyDescent="0.25">
      <c r="A1" s="4" t="s">
        <v>77</v>
      </c>
    </row>
    <row r="2" spans="1:17" ht="20" customHeight="1" thickBot="1" x14ac:dyDescent="0.3">
      <c r="A2" s="7" t="s">
        <v>78</v>
      </c>
    </row>
    <row r="3" spans="1:17" ht="15" customHeight="1" thickBot="1" x14ac:dyDescent="0.3">
      <c r="O3" s="100" t="s">
        <v>172</v>
      </c>
    </row>
    <row r="4" spans="1:17" ht="15" customHeight="1" thickBot="1" x14ac:dyDescent="0.3"/>
    <row r="5" spans="1:17" ht="15" customHeight="1" x14ac:dyDescent="0.25">
      <c r="A5" s="8" t="s">
        <v>0</v>
      </c>
      <c r="B5" s="9"/>
      <c r="C5" s="8" t="s">
        <v>79</v>
      </c>
      <c r="D5" s="10" t="s">
        <v>6</v>
      </c>
      <c r="E5" s="10" t="s">
        <v>7</v>
      </c>
      <c r="F5" s="10"/>
      <c r="O5" s="11" t="s">
        <v>60</v>
      </c>
    </row>
    <row r="6" spans="1:17" ht="15" customHeight="1" thickBot="1" x14ac:dyDescent="0.3">
      <c r="A6" s="8"/>
      <c r="B6" s="9"/>
      <c r="C6" s="12"/>
      <c r="D6" s="10" t="s">
        <v>80</v>
      </c>
      <c r="E6" s="10" t="s">
        <v>81</v>
      </c>
      <c r="F6" s="10"/>
      <c r="O6" s="13" t="s">
        <v>59</v>
      </c>
    </row>
    <row r="7" spans="1:17" ht="15" customHeight="1" x14ac:dyDescent="0.25">
      <c r="A7" s="14"/>
      <c r="B7" s="15"/>
      <c r="C7" s="16"/>
      <c r="D7" s="17"/>
      <c r="E7" s="17"/>
      <c r="F7" s="17"/>
      <c r="O7" s="3"/>
    </row>
    <row r="8" spans="1:17" ht="15" customHeight="1" thickBot="1" x14ac:dyDescent="0.3">
      <c r="A8" s="18" t="s">
        <v>23</v>
      </c>
      <c r="B8" s="15" t="s">
        <v>4</v>
      </c>
      <c r="C8" s="16"/>
      <c r="D8" s="19">
        <v>21</v>
      </c>
      <c r="E8" s="19">
        <v>42</v>
      </c>
      <c r="F8" s="20"/>
      <c r="G8" s="21" t="s">
        <v>82</v>
      </c>
    </row>
    <row r="9" spans="1:17" ht="15" customHeight="1" x14ac:dyDescent="0.25">
      <c r="A9" s="18" t="s">
        <v>1</v>
      </c>
      <c r="B9" s="15" t="s">
        <v>2</v>
      </c>
      <c r="C9" s="16" t="s">
        <v>37</v>
      </c>
      <c r="D9" s="22">
        <v>3</v>
      </c>
      <c r="E9" s="23"/>
      <c r="F9" s="24"/>
      <c r="G9" s="21" t="s">
        <v>82</v>
      </c>
      <c r="O9" s="11" t="s">
        <v>62</v>
      </c>
    </row>
    <row r="10" spans="1:17" ht="15" customHeight="1" thickBot="1" x14ac:dyDescent="0.3">
      <c r="A10" s="18" t="s">
        <v>47</v>
      </c>
      <c r="B10" s="25" t="s">
        <v>16</v>
      </c>
      <c r="C10" s="16"/>
      <c r="D10" s="22">
        <v>20</v>
      </c>
      <c r="E10" s="23"/>
      <c r="F10" s="24"/>
      <c r="G10" s="3" t="s">
        <v>83</v>
      </c>
      <c r="O10" s="13" t="s">
        <v>63</v>
      </c>
    </row>
    <row r="11" spans="1:17" ht="15" customHeight="1" thickBot="1" x14ac:dyDescent="0.3">
      <c r="A11" s="18" t="s">
        <v>15</v>
      </c>
      <c r="B11" s="15" t="s">
        <v>16</v>
      </c>
      <c r="C11" s="16" t="s">
        <v>37</v>
      </c>
      <c r="D11" s="26">
        <v>22</v>
      </c>
      <c r="E11" s="23"/>
      <c r="F11" s="27"/>
      <c r="G11" s="21" t="s">
        <v>82</v>
      </c>
    </row>
    <row r="12" spans="1:17" ht="15" customHeight="1" x14ac:dyDescent="0.25">
      <c r="A12" s="28" t="s">
        <v>32</v>
      </c>
      <c r="B12" s="29"/>
      <c r="C12" s="30"/>
      <c r="D12" s="19" t="s">
        <v>172</v>
      </c>
      <c r="E12" s="31"/>
      <c r="G12" s="21" t="s">
        <v>82</v>
      </c>
      <c r="O12" s="32" t="s">
        <v>84</v>
      </c>
      <c r="P12" s="33"/>
      <c r="Q12" s="47"/>
    </row>
    <row r="13" spans="1:17" ht="15" customHeight="1" x14ac:dyDescent="0.25">
      <c r="A13" s="28" t="s">
        <v>75</v>
      </c>
      <c r="B13" s="29"/>
      <c r="C13" s="30"/>
      <c r="D13" s="19" t="s">
        <v>59</v>
      </c>
      <c r="E13" s="23"/>
      <c r="F13" s="24"/>
      <c r="G13" s="21" t="s">
        <v>82</v>
      </c>
      <c r="O13" s="34" t="s">
        <v>85</v>
      </c>
      <c r="P13" s="35"/>
      <c r="Q13" s="89"/>
    </row>
    <row r="14" spans="1:17" ht="15" customHeight="1" x14ac:dyDescent="0.25">
      <c r="A14" s="28" t="s">
        <v>76</v>
      </c>
      <c r="B14" s="29"/>
      <c r="C14" s="30"/>
      <c r="D14" s="19" t="s">
        <v>85</v>
      </c>
      <c r="E14" s="23"/>
      <c r="F14" s="24"/>
      <c r="G14" s="21" t="s">
        <v>82</v>
      </c>
      <c r="O14" s="34" t="s">
        <v>86</v>
      </c>
      <c r="P14" s="35"/>
      <c r="Q14" s="89"/>
    </row>
    <row r="15" spans="1:17" ht="15" customHeight="1" thickBot="1" x14ac:dyDescent="0.3">
      <c r="A15" s="28" t="s">
        <v>87</v>
      </c>
      <c r="B15" s="29"/>
      <c r="C15" s="30"/>
      <c r="D15" s="19">
        <v>2</v>
      </c>
      <c r="E15" s="23"/>
      <c r="O15" s="36" t="s">
        <v>88</v>
      </c>
      <c r="P15" s="37"/>
      <c r="Q15" s="48"/>
    </row>
    <row r="16" spans="1:17" ht="15" customHeight="1" thickBot="1" x14ac:dyDescent="0.3">
      <c r="A16" s="28" t="s">
        <v>89</v>
      </c>
      <c r="B16" s="29" t="s">
        <v>45</v>
      </c>
      <c r="C16" s="30"/>
      <c r="D16" s="19">
        <v>0.33700000000000002</v>
      </c>
      <c r="E16" s="19">
        <v>0.38500000000000001</v>
      </c>
      <c r="F16" s="20"/>
      <c r="G16" s="38"/>
    </row>
    <row r="17" spans="1:16" ht="15" customHeight="1" x14ac:dyDescent="0.25">
      <c r="A17" s="39" t="s">
        <v>20</v>
      </c>
      <c r="B17" s="29" t="s">
        <v>50</v>
      </c>
      <c r="C17" s="30"/>
      <c r="D17" s="19">
        <f>1.3558*(10^9)^-0.0178</f>
        <v>0.93755257202521836</v>
      </c>
      <c r="E17" s="19">
        <f>1.3558*(10^9)^-0.0178</f>
        <v>0.93755257202521836</v>
      </c>
      <c r="F17" s="20"/>
      <c r="G17" s="38"/>
      <c r="O17" s="40">
        <v>1</v>
      </c>
    </row>
    <row r="18" spans="1:16" ht="15" customHeight="1" thickBot="1" x14ac:dyDescent="0.3">
      <c r="A18" s="28" t="s">
        <v>69</v>
      </c>
      <c r="B18" s="29"/>
      <c r="C18" s="41" t="s">
        <v>90</v>
      </c>
      <c r="D18" s="19">
        <v>0.999</v>
      </c>
      <c r="E18" s="42"/>
      <c r="F18" s="20"/>
      <c r="G18" s="38"/>
      <c r="O18" s="43">
        <v>2</v>
      </c>
    </row>
    <row r="19" spans="1:16" ht="15" customHeight="1" thickBot="1" x14ac:dyDescent="0.3">
      <c r="A19" s="28" t="s">
        <v>91</v>
      </c>
      <c r="B19" s="29" t="s">
        <v>49</v>
      </c>
      <c r="C19" s="30"/>
      <c r="D19" s="101">
        <f>1.4488*(10^9)^-0.023</f>
        <v>0.8995150567925162</v>
      </c>
      <c r="E19" s="101">
        <f>1.4488*(10^9)^-0.023</f>
        <v>0.8995150567925162</v>
      </c>
      <c r="F19" s="45"/>
      <c r="G19" s="38"/>
    </row>
    <row r="20" spans="1:16" ht="15" customHeight="1" x14ac:dyDescent="0.25">
      <c r="A20" s="28"/>
      <c r="B20" s="29"/>
      <c r="C20" s="30"/>
      <c r="D20" s="30"/>
      <c r="E20" s="46"/>
      <c r="O20" s="32" t="s">
        <v>92</v>
      </c>
      <c r="P20" s="47"/>
    </row>
    <row r="21" spans="1:16" ht="15" customHeight="1" thickBot="1" x14ac:dyDescent="0.3">
      <c r="A21" s="28" t="s">
        <v>56</v>
      </c>
      <c r="B21" s="29" t="s">
        <v>44</v>
      </c>
      <c r="C21" s="30"/>
      <c r="D21" s="44">
        <v>1</v>
      </c>
      <c r="E21" s="46"/>
      <c r="F21" s="45"/>
      <c r="G21" s="38"/>
      <c r="O21" s="36" t="s">
        <v>93</v>
      </c>
      <c r="P21" s="48"/>
    </row>
    <row r="22" spans="1:16" ht="15" customHeight="1" x14ac:dyDescent="0.25">
      <c r="A22" s="28" t="s">
        <v>68</v>
      </c>
      <c r="B22" s="29" t="s">
        <v>94</v>
      </c>
      <c r="C22" s="30"/>
      <c r="D22" s="44">
        <v>1</v>
      </c>
      <c r="E22" s="46"/>
      <c r="F22" s="45"/>
      <c r="G22" s="38" t="s">
        <v>95</v>
      </c>
    </row>
    <row r="23" spans="1:16" ht="15" customHeight="1" x14ac:dyDescent="0.25">
      <c r="A23" s="18" t="s">
        <v>13</v>
      </c>
      <c r="B23" s="15" t="s">
        <v>14</v>
      </c>
      <c r="C23" s="16" t="s">
        <v>36</v>
      </c>
      <c r="D23" s="19">
        <v>15000</v>
      </c>
      <c r="E23" s="49"/>
      <c r="F23" s="50"/>
      <c r="G23" s="3" t="s">
        <v>83</v>
      </c>
    </row>
    <row r="24" spans="1:16" ht="15" customHeight="1" x14ac:dyDescent="0.25">
      <c r="A24" s="18" t="s">
        <v>24</v>
      </c>
      <c r="B24" s="15" t="s">
        <v>38</v>
      </c>
      <c r="C24" s="16" t="s">
        <v>5</v>
      </c>
      <c r="D24" s="19">
        <v>2600</v>
      </c>
      <c r="E24" s="51"/>
      <c r="F24" s="52"/>
      <c r="G24" s="3" t="s">
        <v>83</v>
      </c>
    </row>
    <row r="25" spans="1:16" ht="15" customHeight="1" x14ac:dyDescent="0.25">
      <c r="A25" s="28" t="s">
        <v>96</v>
      </c>
      <c r="B25" s="29" t="s">
        <v>52</v>
      </c>
      <c r="C25" s="41" t="s">
        <v>37</v>
      </c>
      <c r="D25" s="44">
        <v>176</v>
      </c>
      <c r="E25" s="53">
        <v>176</v>
      </c>
      <c r="F25" s="54"/>
      <c r="G25" s="21" t="s">
        <v>82</v>
      </c>
    </row>
    <row r="26" spans="1:16" ht="15" customHeight="1" x14ac:dyDescent="0.25">
      <c r="A26" s="28" t="s">
        <v>97</v>
      </c>
      <c r="B26" s="29" t="s">
        <v>98</v>
      </c>
      <c r="C26" s="41" t="s">
        <v>37</v>
      </c>
      <c r="D26" s="19">
        <v>53</v>
      </c>
      <c r="E26" s="53">
        <v>53</v>
      </c>
      <c r="F26" s="54"/>
      <c r="G26" s="21" t="s">
        <v>82</v>
      </c>
    </row>
    <row r="27" spans="1:16" ht="15" customHeight="1" x14ac:dyDescent="0.25">
      <c r="A27" s="28" t="s">
        <v>61</v>
      </c>
      <c r="B27" s="29"/>
      <c r="C27" s="30"/>
      <c r="D27" s="19" t="s">
        <v>63</v>
      </c>
      <c r="E27" s="55"/>
      <c r="F27" s="54"/>
      <c r="G27" s="21" t="s">
        <v>82</v>
      </c>
    </row>
    <row r="28" spans="1:16" ht="15" customHeight="1" x14ac:dyDescent="0.25">
      <c r="A28" s="56" t="s">
        <v>67</v>
      </c>
      <c r="B28" s="29" t="s">
        <v>53</v>
      </c>
      <c r="C28" s="30"/>
      <c r="D28" s="22">
        <v>1</v>
      </c>
      <c r="E28" s="22">
        <v>1</v>
      </c>
      <c r="F28" s="62"/>
      <c r="G28" s="38" t="s">
        <v>104</v>
      </c>
    </row>
    <row r="30" spans="1:16" ht="15" customHeight="1" x14ac:dyDescent="0.25">
      <c r="A30" s="58" t="s">
        <v>27</v>
      </c>
      <c r="B30" s="29"/>
      <c r="C30" s="30"/>
      <c r="D30" s="57"/>
      <c r="E30" s="57"/>
      <c r="F30" s="54"/>
      <c r="G30" s="38"/>
    </row>
    <row r="31" spans="1:16" ht="15" customHeight="1" x14ac:dyDescent="0.25">
      <c r="A31" s="59" t="s">
        <v>171</v>
      </c>
      <c r="C31" s="30"/>
      <c r="D31" s="19">
        <v>4340</v>
      </c>
      <c r="E31" s="19">
        <v>4340</v>
      </c>
      <c r="F31" s="20"/>
      <c r="G31" s="38"/>
      <c r="J31" s="3"/>
      <c r="K31" s="3"/>
    </row>
    <row r="32" spans="1:16" ht="15" customHeight="1" x14ac:dyDescent="0.25">
      <c r="A32" s="59" t="s">
        <v>99</v>
      </c>
      <c r="B32" s="61" t="s">
        <v>159</v>
      </c>
      <c r="C32" s="41" t="s">
        <v>46</v>
      </c>
      <c r="D32" s="19">
        <v>1110</v>
      </c>
      <c r="E32" s="19">
        <v>1110</v>
      </c>
      <c r="F32" s="20"/>
      <c r="G32" s="21" t="s">
        <v>82</v>
      </c>
    </row>
    <row r="33" spans="1:7" ht="15" customHeight="1" x14ac:dyDescent="0.25">
      <c r="A33" s="59" t="s">
        <v>100</v>
      </c>
      <c r="B33" s="61" t="s">
        <v>160</v>
      </c>
      <c r="C33" s="41" t="s">
        <v>46</v>
      </c>
      <c r="D33" s="19">
        <v>710</v>
      </c>
      <c r="E33" s="19">
        <v>710</v>
      </c>
      <c r="F33" s="20"/>
      <c r="G33" s="21" t="s">
        <v>82</v>
      </c>
    </row>
    <row r="34" spans="1:7" ht="15" customHeight="1" x14ac:dyDescent="0.25">
      <c r="A34" s="60" t="s">
        <v>28</v>
      </c>
      <c r="B34" s="29"/>
      <c r="C34" s="41" t="s">
        <v>25</v>
      </c>
      <c r="D34" s="19">
        <v>400</v>
      </c>
      <c r="E34" s="19">
        <v>330</v>
      </c>
      <c r="F34" s="20"/>
      <c r="G34" s="21" t="s">
        <v>82</v>
      </c>
    </row>
    <row r="35" spans="1:7" ht="15" customHeight="1" x14ac:dyDescent="0.25">
      <c r="A35" s="60" t="s">
        <v>101</v>
      </c>
      <c r="B35" s="29"/>
      <c r="C35" s="41"/>
      <c r="D35" s="19" t="s">
        <v>93</v>
      </c>
      <c r="E35" s="19" t="s">
        <v>93</v>
      </c>
      <c r="F35" s="20"/>
      <c r="G35" s="21"/>
    </row>
    <row r="36" spans="1:7" ht="15" customHeight="1" x14ac:dyDescent="0.25">
      <c r="A36" s="59" t="s">
        <v>65</v>
      </c>
      <c r="B36" s="61" t="s">
        <v>4</v>
      </c>
      <c r="C36" s="30"/>
      <c r="D36" s="19">
        <v>0.3</v>
      </c>
      <c r="E36" s="19">
        <v>0.3</v>
      </c>
      <c r="F36" s="20"/>
      <c r="G36" s="21" t="s">
        <v>82</v>
      </c>
    </row>
    <row r="37" spans="1:7" ht="15" customHeight="1" x14ac:dyDescent="0.25">
      <c r="A37" s="56" t="s">
        <v>102</v>
      </c>
      <c r="B37" s="29" t="s">
        <v>39</v>
      </c>
      <c r="C37" s="30" t="s">
        <v>103</v>
      </c>
      <c r="D37" s="19">
        <v>200</v>
      </c>
      <c r="E37" s="19">
        <v>200</v>
      </c>
      <c r="F37" s="20"/>
      <c r="G37" s="21"/>
    </row>
    <row r="38" spans="1:7" ht="15" customHeight="1" x14ac:dyDescent="0.25">
      <c r="A38" s="56"/>
      <c r="B38" s="29"/>
      <c r="C38" s="30"/>
    </row>
    <row r="39" spans="1:7" ht="15" customHeight="1" x14ac:dyDescent="0.25">
      <c r="A39" s="63" t="s">
        <v>73</v>
      </c>
      <c r="B39" s="64"/>
      <c r="C39" s="65"/>
      <c r="D39" s="66">
        <f>'Gear Calc (Output Sheet)'!D82</f>
        <v>2.3357739124905255</v>
      </c>
      <c r="E39" s="66">
        <f>'Gear Calc (Output Sheet)'!E82</f>
        <v>2.3268943125002375</v>
      </c>
      <c r="F39" s="67"/>
    </row>
    <row r="40" spans="1:7" ht="15" customHeight="1" x14ac:dyDescent="0.25">
      <c r="A40" s="63" t="s">
        <v>72</v>
      </c>
      <c r="B40" s="64"/>
      <c r="C40" s="65"/>
      <c r="D40" s="66">
        <f>'Gear Calc (Output Sheet)'!D83</f>
        <v>1.0432886898650724</v>
      </c>
      <c r="E40" s="66">
        <f>'Gear Calc (Output Sheet)'!E83</f>
        <v>1.2681844305176779</v>
      </c>
      <c r="F40" s="67"/>
    </row>
    <row r="41" spans="1:7" ht="15" customHeight="1" x14ac:dyDescent="0.25">
      <c r="B41" s="90"/>
      <c r="C41" s="1"/>
      <c r="D41" s="1"/>
      <c r="E41" s="1"/>
      <c r="F41" s="24"/>
    </row>
    <row r="44" spans="1:7" ht="15" customHeight="1" x14ac:dyDescent="0.25">
      <c r="D44" s="1"/>
      <c r="E44" s="1"/>
      <c r="F44" s="24"/>
    </row>
    <row r="45" spans="1:7" ht="15" customHeight="1" x14ac:dyDescent="0.25">
      <c r="D45" s="1"/>
      <c r="E45" s="1"/>
      <c r="F45" s="24"/>
    </row>
    <row r="47" spans="1:7" ht="15" customHeight="1" x14ac:dyDescent="0.25">
      <c r="D47" s="1"/>
      <c r="E47" s="1"/>
      <c r="F47" s="24"/>
    </row>
  </sheetData>
  <dataValidations disablePrompts="1" count="6">
    <dataValidation type="list" allowBlank="1" showInputMessage="1" showErrorMessage="1" sqref="D35:E35" xr:uid="{00000000-0002-0000-0000-000000000000}">
      <formula1>$O$20:$O$21</formula1>
    </dataValidation>
    <dataValidation type="list" allowBlank="1" showInputMessage="1" showErrorMessage="1" sqref="D15" xr:uid="{00000000-0002-0000-0000-000001000000}">
      <formula1>$O$17:$O$18</formula1>
    </dataValidation>
    <dataValidation type="list" allowBlank="1" showInputMessage="1" showErrorMessage="1" sqref="D14" xr:uid="{00000000-0002-0000-0000-000002000000}">
      <formula1>$O$12:$O$15</formula1>
    </dataValidation>
    <dataValidation type="list" allowBlank="1" showInputMessage="1" showErrorMessage="1" sqref="D27" xr:uid="{00000000-0002-0000-0000-000003000000}">
      <formula1>$O$9:$O$10</formula1>
    </dataValidation>
    <dataValidation type="list" allowBlank="1" showInputMessage="1" showErrorMessage="1" sqref="D13" xr:uid="{00000000-0002-0000-0000-000004000000}">
      <formula1>$O$5:$O$6</formula1>
    </dataValidation>
    <dataValidation type="list" allowBlank="1" showInputMessage="1" showErrorMessage="1" sqref="D12" xr:uid="{00000000-0002-0000-0000-000005000000}">
      <formula1>$O$3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83"/>
  <sheetViews>
    <sheetView zoomScale="110" zoomScaleNormal="110" workbookViewId="0">
      <selection activeCell="G7" sqref="G7"/>
    </sheetView>
  </sheetViews>
  <sheetFormatPr defaultRowHeight="15" customHeight="1" x14ac:dyDescent="0.25"/>
  <cols>
    <col min="1" max="1" width="30" style="56" customWidth="1"/>
    <col min="2" max="2" width="8.6328125" style="29" customWidth="1"/>
    <col min="3" max="3" width="8.6328125" style="41" customWidth="1"/>
    <col min="4" max="5" width="16.6328125" style="30" customWidth="1"/>
    <col min="6" max="7" width="10.6328125" style="56" customWidth="1"/>
    <col min="8" max="8" width="25" style="56" bestFit="1" customWidth="1"/>
    <col min="9" max="13" width="10.6328125" style="56" customWidth="1"/>
  </cols>
  <sheetData>
    <row r="1" spans="1:13" ht="30" customHeight="1" x14ac:dyDescent="0.25">
      <c r="A1" s="102" t="s">
        <v>106</v>
      </c>
      <c r="B1" s="103"/>
      <c r="C1" s="104"/>
      <c r="D1" s="105"/>
      <c r="E1" s="105"/>
      <c r="F1" s="106"/>
      <c r="G1" s="106"/>
      <c r="H1" s="106"/>
      <c r="I1" s="106"/>
      <c r="J1" s="107"/>
    </row>
    <row r="2" spans="1:13" ht="20" customHeight="1" x14ac:dyDescent="0.25">
      <c r="A2" s="108" t="s">
        <v>78</v>
      </c>
      <c r="B2" s="109"/>
      <c r="C2" s="110"/>
      <c r="D2" s="111"/>
      <c r="E2" s="111"/>
      <c r="F2" s="112"/>
      <c r="G2" s="112"/>
      <c r="H2" s="112"/>
      <c r="I2" s="112"/>
      <c r="J2" s="113"/>
    </row>
    <row r="3" spans="1:13" ht="15" customHeight="1" x14ac:dyDescent="0.25">
      <c r="A3" s="114"/>
      <c r="B3" s="109"/>
      <c r="C3" s="110"/>
      <c r="D3" s="111"/>
      <c r="E3" s="111"/>
      <c r="F3" s="112"/>
      <c r="G3" s="112"/>
      <c r="H3" s="112"/>
      <c r="I3" s="112"/>
      <c r="J3" s="113"/>
    </row>
    <row r="4" spans="1:13" ht="15" customHeight="1" x14ac:dyDescent="0.25">
      <c r="A4" s="114"/>
      <c r="B4" s="109"/>
      <c r="C4" s="110"/>
      <c r="D4" s="111"/>
      <c r="E4" s="111"/>
      <c r="F4" s="112"/>
      <c r="G4" s="112"/>
      <c r="H4" s="112"/>
      <c r="I4" s="112"/>
      <c r="J4" s="113"/>
    </row>
    <row r="5" spans="1:13" ht="15" customHeight="1" x14ac:dyDescent="0.25">
      <c r="A5" s="115" t="s">
        <v>107</v>
      </c>
      <c r="B5" s="116"/>
      <c r="C5" s="117"/>
      <c r="D5" s="118" t="s">
        <v>41</v>
      </c>
      <c r="E5" s="118" t="s">
        <v>42</v>
      </c>
      <c r="F5" s="86"/>
      <c r="G5" s="86"/>
      <c r="H5" s="86"/>
      <c r="I5" s="86"/>
      <c r="J5" s="119"/>
      <c r="K5" s="68"/>
      <c r="L5" s="39"/>
      <c r="M5" s="39"/>
    </row>
    <row r="6" spans="1:13" ht="15" customHeight="1" thickBot="1" x14ac:dyDescent="0.3">
      <c r="A6" s="120"/>
      <c r="B6" s="116"/>
      <c r="C6" s="117"/>
      <c r="D6" s="118" t="s">
        <v>108</v>
      </c>
      <c r="E6" s="118" t="s">
        <v>109</v>
      </c>
      <c r="F6" s="86"/>
      <c r="G6" s="86"/>
      <c r="H6" s="86"/>
      <c r="I6" s="86"/>
      <c r="J6" s="119"/>
      <c r="K6" s="68"/>
      <c r="L6" s="39"/>
    </row>
    <row r="7" spans="1:13" ht="15" customHeight="1" x14ac:dyDescent="0.25">
      <c r="A7" s="120" t="s">
        <v>23</v>
      </c>
      <c r="B7" s="116" t="s">
        <v>4</v>
      </c>
      <c r="C7" s="117"/>
      <c r="D7" s="73">
        <f>'Gear Calc (Input Sheet)'!D8</f>
        <v>21</v>
      </c>
      <c r="E7" s="73">
        <f>'Gear Calc (Input Sheet)'!E8</f>
        <v>42</v>
      </c>
      <c r="F7" s="86"/>
      <c r="G7" s="86"/>
      <c r="H7" s="69"/>
      <c r="I7" s="70" t="s">
        <v>33</v>
      </c>
      <c r="J7" s="121" t="s">
        <v>34</v>
      </c>
      <c r="K7" s="70" t="s">
        <v>110</v>
      </c>
      <c r="L7" s="71" t="s">
        <v>135</v>
      </c>
      <c r="M7" s="39"/>
    </row>
    <row r="8" spans="1:13" ht="15" customHeight="1" x14ac:dyDescent="0.25">
      <c r="A8" s="120" t="s">
        <v>3</v>
      </c>
      <c r="B8" s="116" t="s">
        <v>111</v>
      </c>
      <c r="C8" s="117"/>
      <c r="D8" s="91">
        <f>E7/D7</f>
        <v>2</v>
      </c>
      <c r="E8" s="73"/>
      <c r="F8" s="86"/>
      <c r="G8" s="86"/>
      <c r="H8" s="72" t="s">
        <v>84</v>
      </c>
      <c r="I8" s="73">
        <v>0.247</v>
      </c>
      <c r="J8" s="122">
        <v>1.67E-2</v>
      </c>
      <c r="K8" s="74">
        <f>-0.765*10^-4</f>
        <v>-7.6500000000000003E-5</v>
      </c>
      <c r="L8" s="75">
        <v>3</v>
      </c>
      <c r="M8" s="39"/>
    </row>
    <row r="9" spans="1:13" ht="15" customHeight="1" x14ac:dyDescent="0.25">
      <c r="A9" s="120" t="s">
        <v>1</v>
      </c>
      <c r="B9" s="116" t="s">
        <v>141</v>
      </c>
      <c r="C9" s="117" t="s">
        <v>37</v>
      </c>
      <c r="D9" s="123">
        <f>'Gear Calc (Input Sheet)'!D9</f>
        <v>3</v>
      </c>
      <c r="E9" s="123">
        <f>D9</f>
        <v>3</v>
      </c>
      <c r="F9" s="86"/>
      <c r="G9" s="86"/>
      <c r="H9" s="76" t="s">
        <v>85</v>
      </c>
      <c r="I9" s="73">
        <v>0.127</v>
      </c>
      <c r="J9" s="122">
        <v>1.5800000000000002E-2</v>
      </c>
      <c r="K9" s="74">
        <f>-0.93*10^-4</f>
        <v>-9.3000000000000011E-5</v>
      </c>
      <c r="L9" s="75">
        <v>7</v>
      </c>
      <c r="M9" s="39"/>
    </row>
    <row r="10" spans="1:13" ht="15" customHeight="1" x14ac:dyDescent="0.25">
      <c r="A10" s="124" t="s">
        <v>47</v>
      </c>
      <c r="B10" s="125" t="s">
        <v>16</v>
      </c>
      <c r="C10" s="117" t="s">
        <v>40</v>
      </c>
      <c r="D10" s="126">
        <f>'Gear Calc (Input Sheet)'!D10</f>
        <v>20</v>
      </c>
      <c r="E10" s="126">
        <f>D10</f>
        <v>20</v>
      </c>
      <c r="F10" s="86"/>
      <c r="G10" s="86"/>
      <c r="H10" s="76" t="s">
        <v>86</v>
      </c>
      <c r="I10" s="73">
        <v>6.7500000000000004E-2</v>
      </c>
      <c r="J10" s="122">
        <v>1.2800000000000001E-2</v>
      </c>
      <c r="K10" s="74">
        <f>-0.926*10^-4</f>
        <v>-9.2600000000000015E-5</v>
      </c>
      <c r="L10" s="75">
        <v>10</v>
      </c>
      <c r="M10" s="39"/>
    </row>
    <row r="11" spans="1:13" ht="15" customHeight="1" x14ac:dyDescent="0.25">
      <c r="A11" s="120"/>
      <c r="B11" s="125" t="s">
        <v>16</v>
      </c>
      <c r="C11" s="117" t="s">
        <v>35</v>
      </c>
      <c r="D11" s="127">
        <f>D10*PI()/180</f>
        <v>0.3490658503988659</v>
      </c>
      <c r="E11" s="127">
        <f>D11</f>
        <v>0.3490658503988659</v>
      </c>
      <c r="F11" s="86"/>
      <c r="G11" s="86"/>
      <c r="H11" s="72" t="s">
        <v>88</v>
      </c>
      <c r="I11" s="73">
        <v>3.5999999999999999E-3</v>
      </c>
      <c r="J11" s="122">
        <v>1.0200000000000001E-2</v>
      </c>
      <c r="K11" s="74">
        <f>-0.822*10^-4</f>
        <v>-8.2200000000000006E-5</v>
      </c>
      <c r="L11" s="75">
        <v>12</v>
      </c>
      <c r="M11" s="39"/>
    </row>
    <row r="12" spans="1:13" ht="15" customHeight="1" thickBot="1" x14ac:dyDescent="0.3">
      <c r="A12" s="124" t="s">
        <v>112</v>
      </c>
      <c r="B12" s="116" t="s">
        <v>38</v>
      </c>
      <c r="C12" s="117" t="s">
        <v>5</v>
      </c>
      <c r="D12" s="73">
        <f>'Gear Calc (Input Sheet)'!D24</f>
        <v>2600</v>
      </c>
      <c r="E12" s="123">
        <f>D12/D8</f>
        <v>1300</v>
      </c>
      <c r="F12" s="86"/>
      <c r="G12" s="86"/>
      <c r="H12" s="77" t="s">
        <v>177</v>
      </c>
      <c r="I12" s="78">
        <f>VLOOKUP(D25,H8:K11,2,FALSE)</f>
        <v>0.127</v>
      </c>
      <c r="J12" s="128">
        <f>(1000*J9)/25.4</f>
        <v>0.62204724409448831</v>
      </c>
      <c r="K12" s="79">
        <f>(1000*1000*K9)/(25.4*25.4)</f>
        <v>-0.14415028830057663</v>
      </c>
      <c r="L12" s="80">
        <f>VLOOKUP(D25,H8:L12,5,FALSE)</f>
        <v>7</v>
      </c>
      <c r="M12" s="39"/>
    </row>
    <row r="13" spans="1:13" ht="15" customHeight="1" thickBot="1" x14ac:dyDescent="0.3">
      <c r="A13" s="120" t="s">
        <v>9</v>
      </c>
      <c r="B13" s="125" t="s">
        <v>10</v>
      </c>
      <c r="C13" s="129" t="s">
        <v>170</v>
      </c>
      <c r="D13" s="126">
        <f>D12*2*PI()/60</f>
        <v>272.27136331111541</v>
      </c>
      <c r="E13" s="126">
        <f>E12*2*PI()/60</f>
        <v>136.1356816555577</v>
      </c>
      <c r="F13" s="86"/>
      <c r="G13" s="86"/>
      <c r="H13" s="86"/>
      <c r="I13" s="86"/>
      <c r="J13" s="119"/>
      <c r="K13" s="68"/>
      <c r="L13" s="81"/>
      <c r="M13" s="39"/>
    </row>
    <row r="14" spans="1:13" ht="15" customHeight="1" x14ac:dyDescent="0.25">
      <c r="A14" s="124" t="s">
        <v>74</v>
      </c>
      <c r="B14" s="116" t="s">
        <v>8</v>
      </c>
      <c r="C14" s="117" t="s">
        <v>37</v>
      </c>
      <c r="D14" s="130">
        <f>D9*D7</f>
        <v>63</v>
      </c>
      <c r="E14" s="130">
        <f>D9*E7</f>
        <v>126</v>
      </c>
      <c r="F14" s="86"/>
      <c r="G14" s="86"/>
      <c r="H14" s="86"/>
      <c r="I14" s="92">
        <v>12</v>
      </c>
      <c r="J14" s="131">
        <v>0.245</v>
      </c>
      <c r="K14"/>
    </row>
    <row r="15" spans="1:13" ht="15" customHeight="1" x14ac:dyDescent="0.25">
      <c r="A15" s="124" t="s">
        <v>113</v>
      </c>
      <c r="B15" s="116" t="s">
        <v>114</v>
      </c>
      <c r="C15" s="117" t="s">
        <v>115</v>
      </c>
      <c r="D15" s="126">
        <f>D7/(D14/25.4)</f>
        <v>8.4666666666666668</v>
      </c>
      <c r="E15" s="126">
        <f>E7/(E14/25.4)</f>
        <v>8.4666666666666668</v>
      </c>
      <c r="F15" s="86"/>
      <c r="G15" s="86"/>
      <c r="H15" s="86"/>
      <c r="I15" s="76">
        <v>13</v>
      </c>
      <c r="J15" s="132">
        <v>0.26100000000000001</v>
      </c>
      <c r="K15"/>
    </row>
    <row r="16" spans="1:13" ht="15" customHeight="1" x14ac:dyDescent="0.25">
      <c r="A16" s="120" t="s">
        <v>11</v>
      </c>
      <c r="B16" s="116" t="s">
        <v>140</v>
      </c>
      <c r="C16" s="117" t="s">
        <v>169</v>
      </c>
      <c r="D16" s="130">
        <f>D14/(2*1000)*D13</f>
        <v>8.5765479443001347</v>
      </c>
      <c r="E16" s="130">
        <f>E14/(2*1000)*E13</f>
        <v>8.5765479443001347</v>
      </c>
      <c r="F16" s="86"/>
      <c r="G16" s="86"/>
      <c r="H16" s="86"/>
      <c r="I16" s="76">
        <v>14</v>
      </c>
      <c r="J16" s="132">
        <v>0.27700000000000002</v>
      </c>
      <c r="K16"/>
    </row>
    <row r="17" spans="1:11" ht="15" customHeight="1" x14ac:dyDescent="0.25">
      <c r="A17" s="120" t="s">
        <v>29</v>
      </c>
      <c r="B17" s="116" t="s">
        <v>116</v>
      </c>
      <c r="C17" s="117" t="s">
        <v>37</v>
      </c>
      <c r="D17" s="130">
        <f>D9</f>
        <v>3</v>
      </c>
      <c r="E17" s="130">
        <f>D17</f>
        <v>3</v>
      </c>
      <c r="F17" s="86"/>
      <c r="G17" s="86"/>
      <c r="H17" s="86"/>
      <c r="I17" s="76">
        <v>15</v>
      </c>
      <c r="J17" s="132">
        <v>0.28999999999999998</v>
      </c>
      <c r="K17"/>
    </row>
    <row r="18" spans="1:11" ht="15" customHeight="1" x14ac:dyDescent="0.25">
      <c r="A18" s="120" t="s">
        <v>30</v>
      </c>
      <c r="B18" s="116" t="s">
        <v>43</v>
      </c>
      <c r="C18" s="117" t="s">
        <v>37</v>
      </c>
      <c r="D18" s="130">
        <f>1.25*D9</f>
        <v>3.75</v>
      </c>
      <c r="E18" s="130">
        <f>D18</f>
        <v>3.75</v>
      </c>
      <c r="F18" s="86"/>
      <c r="G18" s="86"/>
      <c r="H18" s="86"/>
      <c r="I18" s="76">
        <v>16</v>
      </c>
      <c r="J18" s="132">
        <v>0.29599999999999999</v>
      </c>
      <c r="K18"/>
    </row>
    <row r="19" spans="1:11" ht="15" customHeight="1" x14ac:dyDescent="0.25">
      <c r="A19" s="120" t="s">
        <v>12</v>
      </c>
      <c r="B19" s="116" t="s">
        <v>110</v>
      </c>
      <c r="C19" s="117" t="s">
        <v>37</v>
      </c>
      <c r="D19" s="130">
        <f>(D14+E14)/2</f>
        <v>94.5</v>
      </c>
      <c r="E19" s="133"/>
      <c r="F19" s="86"/>
      <c r="G19" s="86"/>
      <c r="H19" s="86"/>
      <c r="I19" s="76">
        <v>17</v>
      </c>
      <c r="J19" s="132">
        <v>0.30299999999999999</v>
      </c>
      <c r="K19"/>
    </row>
    <row r="20" spans="1:11" ht="15" customHeight="1" x14ac:dyDescent="0.25">
      <c r="A20" s="120" t="s">
        <v>15</v>
      </c>
      <c r="B20" s="116" t="s">
        <v>117</v>
      </c>
      <c r="C20" s="117" t="s">
        <v>37</v>
      </c>
      <c r="D20" s="130">
        <f>'Gear Calc (Input Sheet)'!D11</f>
        <v>22</v>
      </c>
      <c r="E20" s="130">
        <f>D20</f>
        <v>22</v>
      </c>
      <c r="F20" s="86"/>
      <c r="G20" s="86"/>
      <c r="H20" s="86"/>
      <c r="I20" s="76">
        <v>18</v>
      </c>
      <c r="J20" s="132">
        <v>0.309</v>
      </c>
      <c r="K20"/>
    </row>
    <row r="21" spans="1:11" ht="15" customHeight="1" x14ac:dyDescent="0.25">
      <c r="A21" s="120"/>
      <c r="B21" s="116"/>
      <c r="C21" s="117" t="s">
        <v>2</v>
      </c>
      <c r="D21" s="73">
        <f>D20/1000</f>
        <v>2.1999999999999999E-2</v>
      </c>
      <c r="E21" s="127">
        <f>E20/1000</f>
        <v>2.1999999999999999E-2</v>
      </c>
      <c r="F21" s="86"/>
      <c r="G21" s="86"/>
      <c r="H21" s="86"/>
      <c r="I21" s="76">
        <v>19</v>
      </c>
      <c r="J21" s="132">
        <v>0.314</v>
      </c>
      <c r="K21"/>
    </row>
    <row r="22" spans="1:11" ht="15" customHeight="1" x14ac:dyDescent="0.25">
      <c r="A22" s="115" t="s">
        <v>118</v>
      </c>
      <c r="B22" s="116"/>
      <c r="C22" s="117"/>
      <c r="D22" s="73"/>
      <c r="E22" s="73"/>
      <c r="F22" s="86"/>
      <c r="G22" s="86"/>
      <c r="H22" s="86"/>
      <c r="I22" s="76">
        <v>20</v>
      </c>
      <c r="J22" s="132">
        <v>0.32200000000000001</v>
      </c>
      <c r="K22"/>
    </row>
    <row r="23" spans="1:11" ht="15" customHeight="1" x14ac:dyDescent="0.25">
      <c r="A23" s="124" t="s">
        <v>75</v>
      </c>
      <c r="B23" s="116"/>
      <c r="C23" s="117"/>
      <c r="D23" s="134" t="str">
        <f>'Gear Calc (Input Sheet)'!D13</f>
        <v>Uncrowned</v>
      </c>
      <c r="E23" s="73"/>
      <c r="F23" s="86"/>
      <c r="G23" s="86"/>
      <c r="H23" s="86"/>
      <c r="I23" s="76">
        <v>21</v>
      </c>
      <c r="J23" s="132">
        <v>0.32600000000000001</v>
      </c>
      <c r="K23"/>
    </row>
    <row r="24" spans="1:11" ht="15" customHeight="1" x14ac:dyDescent="0.25">
      <c r="A24" s="135" t="s">
        <v>61</v>
      </c>
      <c r="B24" s="116"/>
      <c r="C24" s="117"/>
      <c r="D24" s="73" t="str">
        <f>'Gear Calc (Input Sheet)'!D27</f>
        <v>No</v>
      </c>
      <c r="E24" s="73"/>
      <c r="F24" s="86"/>
      <c r="G24" s="86"/>
      <c r="H24" s="86"/>
      <c r="I24" s="76">
        <v>22</v>
      </c>
      <c r="J24" s="132">
        <v>0.33100000000000002</v>
      </c>
      <c r="K24"/>
    </row>
    <row r="25" spans="1:11" ht="15" customHeight="1" x14ac:dyDescent="0.25">
      <c r="A25" s="124" t="s">
        <v>76</v>
      </c>
      <c r="B25" s="116"/>
      <c r="C25" s="117"/>
      <c r="D25" s="134" t="str">
        <f>'Gear Calc (Input Sheet)'!D14</f>
        <v>Commercial enclosed units</v>
      </c>
      <c r="E25" s="73"/>
      <c r="F25" s="86"/>
      <c r="G25" s="86"/>
      <c r="H25" s="86"/>
      <c r="I25" s="76">
        <v>24</v>
      </c>
      <c r="J25" s="132">
        <v>0.33700000000000002</v>
      </c>
      <c r="K25"/>
    </row>
    <row r="26" spans="1:11" ht="15" customHeight="1" x14ac:dyDescent="0.25">
      <c r="A26" s="124" t="s">
        <v>119</v>
      </c>
      <c r="B26" s="116"/>
      <c r="C26" s="117"/>
      <c r="D26" s="73">
        <f>'Gear Calc (Input Sheet)'!D15</f>
        <v>2</v>
      </c>
      <c r="E26" s="73">
        <f>D26</f>
        <v>2</v>
      </c>
      <c r="F26" s="86"/>
      <c r="G26" s="86"/>
      <c r="H26" s="86"/>
      <c r="I26" s="76">
        <v>26</v>
      </c>
      <c r="J26" s="132">
        <v>0.34599999999999997</v>
      </c>
      <c r="K26"/>
    </row>
    <row r="27" spans="1:11" ht="15" customHeight="1" x14ac:dyDescent="0.25">
      <c r="A27" s="120" t="s">
        <v>96</v>
      </c>
      <c r="B27" s="116" t="s">
        <v>52</v>
      </c>
      <c r="C27" s="117" t="s">
        <v>37</v>
      </c>
      <c r="D27" s="126">
        <f>'Gear Calc (Input Sheet)'!D25</f>
        <v>176</v>
      </c>
      <c r="E27" s="126">
        <f>'Gear Calc (Input Sheet)'!E25</f>
        <v>176</v>
      </c>
      <c r="F27" s="86"/>
      <c r="G27" s="86"/>
      <c r="H27" s="86"/>
      <c r="I27" s="76">
        <v>28</v>
      </c>
      <c r="J27" s="132">
        <v>0.35299999999999998</v>
      </c>
      <c r="K27"/>
    </row>
    <row r="28" spans="1:11" ht="15" customHeight="1" x14ac:dyDescent="0.25">
      <c r="A28" s="124" t="s">
        <v>97</v>
      </c>
      <c r="B28" s="116" t="s">
        <v>98</v>
      </c>
      <c r="C28" s="117" t="s">
        <v>37</v>
      </c>
      <c r="D28" s="126">
        <f>'Gear Calc (Input Sheet)'!D26</f>
        <v>53</v>
      </c>
      <c r="E28" s="126">
        <f>'Gear Calc (Input Sheet)'!E26</f>
        <v>53</v>
      </c>
      <c r="F28" s="86"/>
      <c r="G28" s="86"/>
      <c r="H28" s="86"/>
      <c r="I28" s="76">
        <v>30</v>
      </c>
      <c r="J28" s="132">
        <v>0.35899999999999999</v>
      </c>
      <c r="K28"/>
    </row>
    <row r="29" spans="1:11" ht="15" customHeight="1" x14ac:dyDescent="0.25">
      <c r="A29" s="124" t="s">
        <v>120</v>
      </c>
      <c r="B29" s="116" t="s">
        <v>142</v>
      </c>
      <c r="C29" s="117"/>
      <c r="D29" s="91">
        <f>D28/D27</f>
        <v>0.30113636363636365</v>
      </c>
      <c r="E29" s="91">
        <f>E28/E27</f>
        <v>0.30113636363636365</v>
      </c>
      <c r="F29" s="86"/>
      <c r="G29" s="86"/>
      <c r="H29" s="86"/>
      <c r="I29" s="76">
        <v>34</v>
      </c>
      <c r="J29" s="132">
        <v>0.371</v>
      </c>
      <c r="K29"/>
    </row>
    <row r="30" spans="1:11" ht="15" customHeight="1" x14ac:dyDescent="0.25">
      <c r="A30" s="124"/>
      <c r="B30" s="116"/>
      <c r="C30" s="117"/>
      <c r="D30" s="73"/>
      <c r="E30" s="127"/>
      <c r="F30" s="86"/>
      <c r="G30" s="86"/>
      <c r="H30" s="86"/>
      <c r="I30" s="76">
        <v>38</v>
      </c>
      <c r="J30" s="132">
        <v>0.38400000000000001</v>
      </c>
      <c r="K30"/>
    </row>
    <row r="31" spans="1:11" ht="15" customHeight="1" x14ac:dyDescent="0.25">
      <c r="A31" s="115" t="s">
        <v>173</v>
      </c>
      <c r="B31" s="116"/>
      <c r="C31" s="117"/>
      <c r="D31" s="73"/>
      <c r="E31" s="127"/>
      <c r="F31" s="86"/>
      <c r="G31" s="86"/>
      <c r="H31" s="86"/>
      <c r="I31" s="76">
        <v>43</v>
      </c>
      <c r="J31" s="132">
        <v>0.39700000000000002</v>
      </c>
      <c r="K31"/>
    </row>
    <row r="32" spans="1:11" ht="15" customHeight="1" x14ac:dyDescent="0.25">
      <c r="A32" s="120" t="s">
        <v>13</v>
      </c>
      <c r="B32" s="116" t="s">
        <v>14</v>
      </c>
      <c r="C32" s="117" t="s">
        <v>36</v>
      </c>
      <c r="D32" s="73">
        <f>'Gear Calc (Input Sheet)'!D23</f>
        <v>15000</v>
      </c>
      <c r="E32" s="123">
        <f>D32</f>
        <v>15000</v>
      </c>
      <c r="F32" s="86"/>
      <c r="G32" s="86"/>
      <c r="H32" s="86"/>
      <c r="I32" s="76">
        <v>50</v>
      </c>
      <c r="J32" s="132">
        <v>0.40899999999999997</v>
      </c>
      <c r="K32"/>
    </row>
    <row r="33" spans="1:13" ht="15" customHeight="1" x14ac:dyDescent="0.25">
      <c r="A33" s="120" t="s">
        <v>17</v>
      </c>
      <c r="B33" s="116" t="s">
        <v>143</v>
      </c>
      <c r="C33" s="117" t="s">
        <v>38</v>
      </c>
      <c r="D33" s="130">
        <v>1750</v>
      </c>
      <c r="E33" s="130">
        <v>1750</v>
      </c>
      <c r="F33" s="86"/>
      <c r="G33" s="86"/>
      <c r="H33" s="86"/>
      <c r="I33" s="76">
        <v>60</v>
      </c>
      <c r="J33" s="132">
        <v>0.42199999999999999</v>
      </c>
      <c r="K33"/>
    </row>
    <row r="34" spans="1:13" ht="15" customHeight="1" x14ac:dyDescent="0.25">
      <c r="A34" s="124" t="s">
        <v>174</v>
      </c>
      <c r="B34" s="116" t="s">
        <v>175</v>
      </c>
      <c r="C34" s="117" t="s">
        <v>176</v>
      </c>
      <c r="D34" s="73">
        <f>0.5*D14/1000*D33</f>
        <v>55.125</v>
      </c>
      <c r="E34" s="73">
        <f>0.5*E14/1000*E33</f>
        <v>110.25</v>
      </c>
      <c r="F34" s="86"/>
      <c r="G34" s="86"/>
      <c r="H34" s="86"/>
      <c r="I34" s="76">
        <v>75</v>
      </c>
      <c r="J34" s="132">
        <v>0.435</v>
      </c>
      <c r="K34"/>
    </row>
    <row r="35" spans="1:13" ht="15" customHeight="1" x14ac:dyDescent="0.25">
      <c r="A35" s="114"/>
      <c r="B35" s="109"/>
      <c r="C35" s="110"/>
      <c r="D35" s="111"/>
      <c r="E35" s="111"/>
      <c r="F35" s="86"/>
      <c r="G35" s="86"/>
      <c r="H35" s="86"/>
      <c r="I35" s="76">
        <v>100</v>
      </c>
      <c r="J35" s="132">
        <v>0.44700000000000001</v>
      </c>
      <c r="K35"/>
    </row>
    <row r="36" spans="1:13" ht="15" customHeight="1" x14ac:dyDescent="0.25">
      <c r="A36" s="115" t="s">
        <v>27</v>
      </c>
      <c r="B36" s="116"/>
      <c r="C36" s="117"/>
      <c r="D36" s="130"/>
      <c r="E36" s="73"/>
      <c r="F36" s="86"/>
      <c r="G36" s="86"/>
      <c r="H36" s="86"/>
      <c r="I36" s="76">
        <v>150</v>
      </c>
      <c r="J36" s="132">
        <v>0.46</v>
      </c>
      <c r="K36"/>
    </row>
    <row r="37" spans="1:13" ht="15" customHeight="1" x14ac:dyDescent="0.25">
      <c r="A37" s="124" t="s">
        <v>51</v>
      </c>
      <c r="B37" s="116" t="s">
        <v>52</v>
      </c>
      <c r="C37" s="117" t="s">
        <v>25</v>
      </c>
      <c r="D37" s="117">
        <f>'Gear Calc (Input Sheet)'!D34</f>
        <v>400</v>
      </c>
      <c r="E37" s="117">
        <f>'Gear Calc (Input Sheet)'!E34</f>
        <v>330</v>
      </c>
      <c r="F37" s="86"/>
      <c r="G37" s="86"/>
      <c r="H37" s="86"/>
      <c r="I37" s="76">
        <v>300</v>
      </c>
      <c r="J37" s="132">
        <v>0.47199999999999998</v>
      </c>
      <c r="K37"/>
    </row>
    <row r="38" spans="1:13" ht="15" customHeight="1" x14ac:dyDescent="0.25">
      <c r="A38" s="120" t="s">
        <v>101</v>
      </c>
      <c r="B38" s="116"/>
      <c r="C38" s="117"/>
      <c r="D38" s="73" t="str">
        <f>'Gear Calc (Input Sheet)'!D35</f>
        <v>Through hardened</v>
      </c>
      <c r="E38" s="73" t="str">
        <f>'Gear Calc (Input Sheet)'!E35</f>
        <v>Through hardened</v>
      </c>
      <c r="F38" s="86"/>
      <c r="G38" s="86"/>
      <c r="H38" s="86"/>
      <c r="I38" s="76">
        <v>400</v>
      </c>
      <c r="J38" s="132">
        <v>0.48</v>
      </c>
      <c r="K38"/>
    </row>
    <row r="39" spans="1:13" ht="15" customHeight="1" thickBot="1" x14ac:dyDescent="0.3">
      <c r="A39" s="136" t="s">
        <v>19</v>
      </c>
      <c r="B39" s="116" t="s">
        <v>144</v>
      </c>
      <c r="C39" s="117" t="s">
        <v>46</v>
      </c>
      <c r="D39" s="130">
        <f>(0.749*D37)+110</f>
        <v>409.6</v>
      </c>
      <c r="E39" s="130">
        <f>(0.749*E37)+110</f>
        <v>357.16999999999996</v>
      </c>
      <c r="F39" s="86"/>
      <c r="G39" s="86"/>
      <c r="H39" s="86"/>
      <c r="I39" s="93" t="s">
        <v>31</v>
      </c>
      <c r="J39" s="137">
        <v>0.48499999999999999</v>
      </c>
      <c r="K39"/>
    </row>
    <row r="40" spans="1:13" ht="15" customHeight="1" thickBot="1" x14ac:dyDescent="0.3">
      <c r="A40" s="124" t="s">
        <v>22</v>
      </c>
      <c r="B40" s="116" t="s">
        <v>145</v>
      </c>
      <c r="C40" s="117" t="s">
        <v>46</v>
      </c>
      <c r="D40" s="126">
        <f>IF(D26=1,(2.22*D37+200),(2.41*D37+237))</f>
        <v>1201</v>
      </c>
      <c r="E40" s="126">
        <f>IF(E26=1,(2.22*E37+200),(2.41*E37+237))</f>
        <v>1032.3000000000002</v>
      </c>
      <c r="F40" s="86"/>
      <c r="G40" s="86"/>
      <c r="H40" s="86"/>
      <c r="I40" s="112"/>
      <c r="J40" s="113"/>
    </row>
    <row r="41" spans="1:13" ht="15" customHeight="1" x14ac:dyDescent="0.4">
      <c r="A41" s="120" t="s">
        <v>65</v>
      </c>
      <c r="B41" s="138" t="s">
        <v>4</v>
      </c>
      <c r="C41" s="117"/>
      <c r="D41" s="73">
        <f>'Gear Calc (Input Sheet)'!D36</f>
        <v>0.3</v>
      </c>
      <c r="E41" s="73">
        <f>'Gear Calc (Input Sheet)'!E36</f>
        <v>0.3</v>
      </c>
      <c r="F41" s="86"/>
      <c r="G41" s="86"/>
      <c r="H41" s="86"/>
      <c r="I41" s="94" t="s">
        <v>161</v>
      </c>
      <c r="J41" s="139">
        <f>D7</f>
        <v>21</v>
      </c>
      <c r="K41" s="95" t="s">
        <v>136</v>
      </c>
      <c r="L41" s="96">
        <f>interp_onX(J41,I14:J39)</f>
        <v>0.32600000000000001</v>
      </c>
    </row>
    <row r="42" spans="1:13" ht="15" customHeight="1" thickBot="1" x14ac:dyDescent="0.45">
      <c r="A42" s="120" t="s">
        <v>102</v>
      </c>
      <c r="B42" s="116" t="s">
        <v>39</v>
      </c>
      <c r="C42" s="117" t="s">
        <v>103</v>
      </c>
      <c r="D42" s="73">
        <f>'Gear Calc (Input Sheet)'!D37</f>
        <v>200</v>
      </c>
      <c r="E42" s="73">
        <f>'Gear Calc (Input Sheet)'!E37</f>
        <v>200</v>
      </c>
      <c r="F42" s="86"/>
      <c r="G42" s="86"/>
      <c r="H42" s="86"/>
      <c r="I42" s="97" t="s">
        <v>162</v>
      </c>
      <c r="J42" s="140">
        <f>E7</f>
        <v>42</v>
      </c>
      <c r="K42" s="98" t="s">
        <v>137</v>
      </c>
      <c r="L42" s="99">
        <f>interp_onX(J42,I14:J39)</f>
        <v>0.39440000000000003</v>
      </c>
      <c r="M42" s="39"/>
    </row>
    <row r="43" spans="1:13" ht="15" customHeight="1" x14ac:dyDescent="0.25">
      <c r="A43" s="120"/>
      <c r="B43" s="116"/>
      <c r="C43" s="117" t="s">
        <v>46</v>
      </c>
      <c r="D43" s="73">
        <f>D42*1000</f>
        <v>200000</v>
      </c>
      <c r="E43" s="73">
        <f>E42*1000</f>
        <v>200000</v>
      </c>
      <c r="F43" s="86"/>
      <c r="G43" s="86"/>
      <c r="H43" s="86"/>
      <c r="I43" s="73"/>
      <c r="J43" s="141"/>
      <c r="K43" s="39"/>
      <c r="L43" s="39"/>
      <c r="M43" s="39"/>
    </row>
    <row r="44" spans="1:13" ht="15" customHeight="1" x14ac:dyDescent="0.25">
      <c r="A44" s="120"/>
      <c r="B44" s="116"/>
      <c r="C44" s="117"/>
      <c r="D44" s="73"/>
      <c r="E44" s="73"/>
      <c r="F44" s="86"/>
      <c r="G44" s="86"/>
      <c r="H44" s="86"/>
      <c r="I44" s="86"/>
      <c r="J44" s="119"/>
      <c r="K44" s="39"/>
      <c r="L44" s="39"/>
      <c r="M44" s="39"/>
    </row>
    <row r="45" spans="1:13" ht="15" customHeight="1" thickBot="1" x14ac:dyDescent="0.3">
      <c r="A45" s="115" t="s">
        <v>55</v>
      </c>
      <c r="B45" s="116"/>
      <c r="C45" s="117"/>
      <c r="D45" s="73"/>
      <c r="E45" s="73"/>
      <c r="F45" s="86"/>
      <c r="G45" s="86"/>
      <c r="H45" s="86"/>
      <c r="I45" s="86"/>
      <c r="J45" s="119"/>
      <c r="K45" s="39"/>
      <c r="L45" s="39"/>
      <c r="M45" s="39"/>
    </row>
    <row r="46" spans="1:13" ht="15" customHeight="1" x14ac:dyDescent="0.25">
      <c r="A46" s="124" t="s">
        <v>56</v>
      </c>
      <c r="B46" s="116" t="s">
        <v>44</v>
      </c>
      <c r="C46" s="117"/>
      <c r="D46" s="126">
        <f>'Gear Calc (Input Sheet)'!D21</f>
        <v>1</v>
      </c>
      <c r="E46" s="126">
        <f>D46</f>
        <v>1</v>
      </c>
      <c r="F46" s="86"/>
      <c r="G46" s="86"/>
      <c r="H46" s="84" t="s">
        <v>122</v>
      </c>
      <c r="I46" s="85">
        <v>1</v>
      </c>
      <c r="J46" s="142">
        <v>2</v>
      </c>
      <c r="K46" s="68"/>
      <c r="L46" s="39"/>
    </row>
    <row r="47" spans="1:13" ht="15" customHeight="1" x14ac:dyDescent="0.25">
      <c r="A47" s="143" t="s">
        <v>121</v>
      </c>
      <c r="B47" s="116" t="s">
        <v>146</v>
      </c>
      <c r="C47" s="117"/>
      <c r="D47" s="123">
        <f>L12</f>
        <v>7</v>
      </c>
      <c r="E47" s="133"/>
      <c r="F47" s="86"/>
      <c r="G47" s="86"/>
      <c r="H47" s="72" t="s">
        <v>93</v>
      </c>
      <c r="I47" s="86">
        <f>0.533*D37+88.3</f>
        <v>301.5</v>
      </c>
      <c r="J47" s="119">
        <f>0.703*D37+113</f>
        <v>394.2</v>
      </c>
      <c r="K47" s="39"/>
      <c r="L47" s="39"/>
    </row>
    <row r="48" spans="1:13" ht="15" customHeight="1" thickBot="1" x14ac:dyDescent="0.3">
      <c r="A48" s="124" t="s">
        <v>123</v>
      </c>
      <c r="B48" s="116"/>
      <c r="C48" s="117"/>
      <c r="D48" s="126">
        <f>50+56*(1-D49)</f>
        <v>65.063751665019879</v>
      </c>
      <c r="E48" s="133"/>
      <c r="F48" s="86"/>
      <c r="G48" s="86"/>
      <c r="H48" s="77" t="s">
        <v>92</v>
      </c>
      <c r="I48" s="87">
        <f>0.568*D37+83.8</f>
        <v>311</v>
      </c>
      <c r="J48" s="144">
        <f>0.749*D37+110</f>
        <v>409.6</v>
      </c>
      <c r="K48" s="39"/>
      <c r="L48" s="39"/>
    </row>
    <row r="49" spans="1:13" ht="15" customHeight="1" x14ac:dyDescent="0.25">
      <c r="A49" s="124" t="s">
        <v>124</v>
      </c>
      <c r="B49" s="116"/>
      <c r="C49" s="117"/>
      <c r="D49" s="91">
        <f>0.25*(12-D47)^(2/3)</f>
        <v>0.7310044345532164</v>
      </c>
      <c r="E49" s="133"/>
      <c r="F49" s="86"/>
      <c r="G49" s="86"/>
      <c r="H49" s="86"/>
      <c r="I49" s="86"/>
      <c r="J49" s="119"/>
      <c r="K49" s="39"/>
      <c r="L49" s="39"/>
    </row>
    <row r="50" spans="1:13" ht="15" customHeight="1" thickBot="1" x14ac:dyDescent="0.3">
      <c r="A50" s="124" t="s">
        <v>57</v>
      </c>
      <c r="B50" s="116" t="s">
        <v>147</v>
      </c>
      <c r="C50" s="117"/>
      <c r="D50" s="130">
        <f>((D48+SQRT(200*D16))/D48)^D49</f>
        <v>1.4334519739691716</v>
      </c>
      <c r="E50" s="130">
        <f>D50</f>
        <v>1.4334519739691716</v>
      </c>
      <c r="F50" s="86"/>
      <c r="G50" s="86"/>
      <c r="H50" s="86"/>
      <c r="I50" s="86"/>
      <c r="J50" s="119"/>
      <c r="K50" s="39"/>
      <c r="L50" s="39"/>
    </row>
    <row r="51" spans="1:13" ht="15" customHeight="1" x14ac:dyDescent="0.25">
      <c r="A51" s="124" t="s">
        <v>58</v>
      </c>
      <c r="B51" s="116" t="s">
        <v>148</v>
      </c>
      <c r="C51" s="117"/>
      <c r="D51" s="126">
        <f>IF((1.192*((D20/25.4*SQRT(L41)/D15)^0.0535))&lt;1,1,(1.192*((D20/25.4*SQRT(L41)/D15)^0.0535)))</f>
        <v>1.023960536151107</v>
      </c>
      <c r="E51" s="126">
        <f>IF((1.192*((E20/25.4*SQRT(L42)/E15)^0.0535))&lt;1,1,(1.192*((E20/25.4*SQRT(L42)/E15)^0.0535)))</f>
        <v>1.0291909543913937</v>
      </c>
      <c r="F51" s="86"/>
      <c r="G51" s="86"/>
      <c r="H51" s="86"/>
      <c r="I51" s="82" t="s">
        <v>69</v>
      </c>
      <c r="J51" s="142" t="s">
        <v>138</v>
      </c>
      <c r="K51" s="39"/>
      <c r="L51" s="39"/>
    </row>
    <row r="52" spans="1:13" ht="15" customHeight="1" x14ac:dyDescent="0.25">
      <c r="A52" s="124" t="s">
        <v>125</v>
      </c>
      <c r="B52" s="116" t="s">
        <v>149</v>
      </c>
      <c r="C52" s="117"/>
      <c r="D52" s="127">
        <f>IF(D24="yes",0.8,1)</f>
        <v>1</v>
      </c>
      <c r="E52" s="133"/>
      <c r="F52" s="145"/>
      <c r="G52" s="145"/>
      <c r="H52" s="86"/>
      <c r="I52" s="76"/>
      <c r="J52" s="119"/>
      <c r="K52" s="39"/>
      <c r="L52" s="39"/>
    </row>
    <row r="53" spans="1:13" ht="15" customHeight="1" x14ac:dyDescent="0.25">
      <c r="A53" s="124" t="s">
        <v>126</v>
      </c>
      <c r="B53" s="116" t="s">
        <v>150</v>
      </c>
      <c r="C53" s="117"/>
      <c r="D53" s="91">
        <v>0.14099999999999999</v>
      </c>
      <c r="E53" s="133"/>
      <c r="F53" s="86"/>
      <c r="G53" s="86"/>
      <c r="H53" s="86"/>
      <c r="I53" s="83">
        <v>0.5</v>
      </c>
      <c r="J53" s="146">
        <v>0.7</v>
      </c>
      <c r="K53" s="39"/>
      <c r="L53" s="39"/>
      <c r="M53" s="39"/>
    </row>
    <row r="54" spans="1:13" ht="15" customHeight="1" x14ac:dyDescent="0.25">
      <c r="A54" s="147" t="s">
        <v>127</v>
      </c>
      <c r="B54" s="116"/>
      <c r="C54" s="117"/>
      <c r="D54" s="91">
        <f>IF((D20/(10*D14))&lt;0.05,0.05,(D20/(10*D14)))</f>
        <v>0.05</v>
      </c>
      <c r="E54" s="133"/>
      <c r="F54" s="86"/>
      <c r="G54" s="86"/>
      <c r="H54" s="86"/>
      <c r="I54" s="83">
        <v>0.9</v>
      </c>
      <c r="J54" s="146">
        <v>0.85</v>
      </c>
      <c r="K54" s="39"/>
      <c r="L54" s="39"/>
      <c r="M54" s="39"/>
    </row>
    <row r="55" spans="1:13" ht="15" customHeight="1" x14ac:dyDescent="0.25">
      <c r="A55" s="124" t="s">
        <v>128</v>
      </c>
      <c r="B55" s="116" t="s">
        <v>151</v>
      </c>
      <c r="C55" s="117"/>
      <c r="D55" s="73">
        <f>IF(D21&lt;0.0254,(D54-0.025),(IF(D21&gt;0.4318,(D54+0.815*D21-0.3534*D21^2),(D54-0.0375+0.4921*D21))))</f>
        <v>2.5000000000000001E-2</v>
      </c>
      <c r="E55" s="148"/>
      <c r="F55" s="86"/>
      <c r="G55" s="86"/>
      <c r="H55" s="86"/>
      <c r="I55" s="83">
        <v>0.99</v>
      </c>
      <c r="J55" s="146">
        <v>1</v>
      </c>
      <c r="K55" s="39"/>
      <c r="L55" s="39"/>
      <c r="M55" s="39"/>
    </row>
    <row r="56" spans="1:13" ht="15" customHeight="1" x14ac:dyDescent="0.25">
      <c r="A56" s="124" t="s">
        <v>129</v>
      </c>
      <c r="B56" s="116" t="s">
        <v>152</v>
      </c>
      <c r="C56" s="117"/>
      <c r="D56" s="149">
        <f>IF(D29&lt;0.175,1,1.1)</f>
        <v>1.1000000000000001</v>
      </c>
      <c r="E56" s="149">
        <f>IF(E29&lt;0.175,1,1.1)</f>
        <v>1.1000000000000001</v>
      </c>
      <c r="F56" s="86"/>
      <c r="G56" s="86"/>
      <c r="H56" s="86"/>
      <c r="I56" s="83">
        <v>0.999</v>
      </c>
      <c r="J56" s="146">
        <v>1.25</v>
      </c>
      <c r="K56" s="39"/>
      <c r="L56" s="39"/>
      <c r="M56" s="39"/>
    </row>
    <row r="57" spans="1:13" ht="15" customHeight="1" x14ac:dyDescent="0.25">
      <c r="A57" s="124" t="s">
        <v>130</v>
      </c>
      <c r="B57" s="116" t="s">
        <v>153</v>
      </c>
      <c r="C57" s="117"/>
      <c r="D57" s="126">
        <f>IF(D23="Crowned",0.8,1)</f>
        <v>1</v>
      </c>
      <c r="E57" s="73">
        <v>1</v>
      </c>
      <c r="F57" s="86"/>
      <c r="G57" s="86"/>
      <c r="H57" s="86"/>
      <c r="I57" s="83">
        <v>0.99990000000000001</v>
      </c>
      <c r="J57" s="146">
        <v>1.5</v>
      </c>
      <c r="K57" s="39"/>
      <c r="L57" s="39"/>
    </row>
    <row r="58" spans="1:13" ht="15" customHeight="1" x14ac:dyDescent="0.25">
      <c r="A58" s="124" t="s">
        <v>131</v>
      </c>
      <c r="B58" s="116" t="s">
        <v>154</v>
      </c>
      <c r="C58" s="117"/>
      <c r="D58" s="91">
        <f>1+D57*(D55*D56+D53*D52)</f>
        <v>1.1684999999999999</v>
      </c>
      <c r="E58" s="91">
        <f>1+D57*(D55*E56+D53*D52)</f>
        <v>1.1684999999999999</v>
      </c>
      <c r="F58" s="86"/>
      <c r="G58" s="86"/>
      <c r="H58" s="86"/>
      <c r="I58" s="76"/>
      <c r="J58" s="119"/>
      <c r="K58" s="39"/>
      <c r="L58" s="39"/>
    </row>
    <row r="59" spans="1:13" ht="15" customHeight="1" thickBot="1" x14ac:dyDescent="0.3">
      <c r="A59" s="124" t="s">
        <v>132</v>
      </c>
      <c r="B59" s="116" t="s">
        <v>155</v>
      </c>
      <c r="C59" s="117"/>
      <c r="D59" s="126">
        <v>1</v>
      </c>
      <c r="E59" s="126">
        <v>1</v>
      </c>
      <c r="F59" s="86"/>
      <c r="G59" s="86"/>
      <c r="H59" s="86"/>
      <c r="I59" s="88"/>
      <c r="J59" s="144"/>
      <c r="K59" s="39"/>
      <c r="L59" s="39"/>
    </row>
    <row r="60" spans="1:13" ht="15" customHeight="1" x14ac:dyDescent="0.25">
      <c r="A60" s="124" t="s">
        <v>89</v>
      </c>
      <c r="B60" s="116" t="s">
        <v>45</v>
      </c>
      <c r="C60" s="117"/>
      <c r="D60" s="73">
        <f>'Gear Calc (Input Sheet)'!D16</f>
        <v>0.33700000000000002</v>
      </c>
      <c r="E60" s="73">
        <f>'Gear Calc (Input Sheet)'!E16</f>
        <v>0.38500000000000001</v>
      </c>
      <c r="F60" s="86"/>
      <c r="G60" s="86"/>
      <c r="H60" s="86"/>
      <c r="I60" s="86"/>
      <c r="J60" s="119"/>
      <c r="K60" s="39"/>
      <c r="L60" s="39"/>
    </row>
    <row r="61" spans="1:13" ht="15" customHeight="1" x14ac:dyDescent="0.25">
      <c r="A61" s="150" t="s">
        <v>18</v>
      </c>
      <c r="B61" s="151" t="s">
        <v>133</v>
      </c>
      <c r="C61" s="117" t="s">
        <v>46</v>
      </c>
      <c r="D61" s="152">
        <f>1750*1*1*1.43*(1/66)*(1.169*1/0.337)</f>
        <v>131.52695351137487</v>
      </c>
      <c r="E61" s="153">
        <f>1750*1.43*1.169*(1/(66*0.385))</f>
        <v>115.12878787878788</v>
      </c>
      <c r="F61" s="86"/>
      <c r="G61" s="86"/>
      <c r="H61" s="86"/>
      <c r="I61" s="86"/>
      <c r="J61" s="119"/>
      <c r="K61" s="39"/>
      <c r="L61" s="39"/>
    </row>
    <row r="62" spans="1:13" ht="15" customHeight="1" x14ac:dyDescent="0.25">
      <c r="A62" s="150"/>
      <c r="B62" s="151"/>
      <c r="C62" s="117"/>
      <c r="D62" s="153"/>
      <c r="E62" s="118"/>
      <c r="F62" s="86"/>
      <c r="G62" s="86"/>
      <c r="H62" s="86"/>
      <c r="I62" s="86"/>
      <c r="J62" s="119"/>
      <c r="K62" s="39"/>
      <c r="L62" s="39"/>
    </row>
    <row r="63" spans="1:13" ht="15" customHeight="1" x14ac:dyDescent="0.25">
      <c r="A63" s="143" t="s">
        <v>66</v>
      </c>
      <c r="B63" s="116" t="s">
        <v>163</v>
      </c>
      <c r="C63" s="117"/>
      <c r="D63" s="126">
        <f>(1/(PI()*((1-D41^2)/D43+(1-E41^2)/E43)))^0.5</f>
        <v>187.02702577928443</v>
      </c>
      <c r="E63" s="126">
        <f>D63</f>
        <v>187.02702577928443</v>
      </c>
      <c r="F63" s="86"/>
      <c r="G63" s="86"/>
      <c r="H63" s="86"/>
      <c r="I63" s="86"/>
      <c r="J63" s="119"/>
      <c r="K63" s="39"/>
      <c r="L63" s="39"/>
    </row>
    <row r="64" spans="1:13" ht="15" customHeight="1" x14ac:dyDescent="0.25">
      <c r="A64" s="143" t="s">
        <v>67</v>
      </c>
      <c r="B64" s="116" t="s">
        <v>53</v>
      </c>
      <c r="C64" s="117"/>
      <c r="D64" s="126">
        <f>'Gear Calc (Input Sheet)'!D28</f>
        <v>1</v>
      </c>
      <c r="E64" s="126">
        <f>'Gear Calc (Input Sheet)'!E28</f>
        <v>1</v>
      </c>
      <c r="F64" s="86"/>
      <c r="G64" s="86"/>
      <c r="H64" s="86"/>
      <c r="I64" s="86"/>
      <c r="J64" s="119"/>
      <c r="K64" s="39"/>
      <c r="L64" s="39"/>
    </row>
    <row r="65" spans="1:12" ht="15" customHeight="1" x14ac:dyDescent="0.25">
      <c r="A65" s="143" t="s">
        <v>0</v>
      </c>
      <c r="B65" s="116" t="s">
        <v>164</v>
      </c>
      <c r="C65" s="117"/>
      <c r="D65" s="91">
        <f>SIN(D11)*COS(D11)/2*(D8/(D8+1))</f>
        <v>0.10713126828108989</v>
      </c>
      <c r="E65" s="91">
        <f>D65</f>
        <v>0.10713126828108989</v>
      </c>
      <c r="F65" s="86"/>
      <c r="G65" s="86"/>
      <c r="H65" s="86"/>
      <c r="I65" s="86"/>
      <c r="J65" s="119"/>
      <c r="K65" s="39"/>
      <c r="L65" s="39"/>
    </row>
    <row r="66" spans="1:12" ht="15" customHeight="1" x14ac:dyDescent="0.25">
      <c r="A66" s="150" t="s">
        <v>26</v>
      </c>
      <c r="B66" s="151" t="s">
        <v>165</v>
      </c>
      <c r="C66" s="117" t="s">
        <v>46</v>
      </c>
      <c r="D66" s="152">
        <f>187*(1750*1*1*1.43*(1.169/(22*63))*(1/0.107))^0.5</f>
        <v>830.54353348109862</v>
      </c>
      <c r="E66" s="152">
        <f>187*(1750*1*1*1.43*(1.169/(22*63*2))*(1/0.107))^0.5</f>
        <v>587.28296459512126</v>
      </c>
      <c r="F66" s="86"/>
      <c r="G66" s="86"/>
      <c r="H66" s="86"/>
      <c r="I66" s="86"/>
      <c r="J66" s="119"/>
      <c r="K66" s="39"/>
      <c r="L66" s="39"/>
    </row>
    <row r="67" spans="1:12" ht="15" customHeight="1" x14ac:dyDescent="0.25">
      <c r="A67" s="124"/>
      <c r="B67" s="116"/>
      <c r="C67" s="117"/>
      <c r="D67" s="130"/>
      <c r="E67" s="73"/>
      <c r="F67" s="86"/>
      <c r="G67" s="86"/>
      <c r="H67" s="86"/>
      <c r="I67" s="86"/>
      <c r="J67" s="119"/>
      <c r="K67" s="39"/>
      <c r="L67" s="39"/>
    </row>
    <row r="68" spans="1:12" ht="15" customHeight="1" x14ac:dyDescent="0.25">
      <c r="A68" s="115" t="s">
        <v>54</v>
      </c>
      <c r="B68" s="116"/>
      <c r="C68" s="117"/>
      <c r="D68" s="73"/>
      <c r="E68" s="73"/>
      <c r="F68" s="86"/>
      <c r="G68" s="86"/>
      <c r="H68" s="86"/>
      <c r="I68" s="86"/>
      <c r="J68" s="119"/>
      <c r="K68" s="39"/>
      <c r="L68" s="39"/>
    </row>
    <row r="69" spans="1:12" ht="15" customHeight="1" x14ac:dyDescent="0.25">
      <c r="A69" s="124" t="s">
        <v>64</v>
      </c>
      <c r="B69" s="116" t="s">
        <v>139</v>
      </c>
      <c r="C69" s="117"/>
      <c r="D69" s="126">
        <v>1</v>
      </c>
      <c r="E69" s="126">
        <f>D69</f>
        <v>1</v>
      </c>
      <c r="F69" s="86"/>
      <c r="G69" s="86"/>
      <c r="H69" s="86"/>
      <c r="I69" s="86"/>
      <c r="J69" s="119"/>
      <c r="K69" s="39"/>
      <c r="L69" s="39"/>
    </row>
    <row r="70" spans="1:12" ht="15" customHeight="1" x14ac:dyDescent="0.25">
      <c r="A70" s="124" t="s">
        <v>20</v>
      </c>
      <c r="B70" s="116" t="s">
        <v>50</v>
      </c>
      <c r="C70" s="117"/>
      <c r="D70" s="91">
        <f>'Gear Calc (Input Sheet)'!D17</f>
        <v>0.93755257202521836</v>
      </c>
      <c r="E70" s="91">
        <f>'Gear Calc (Input Sheet)'!E17</f>
        <v>0.93755257202521836</v>
      </c>
      <c r="F70" s="86"/>
      <c r="G70" s="86"/>
      <c r="H70" s="86"/>
      <c r="I70" s="86"/>
      <c r="J70" s="119"/>
      <c r="K70" s="39"/>
      <c r="L70" s="39"/>
    </row>
    <row r="71" spans="1:12" ht="15" customHeight="1" x14ac:dyDescent="0.25">
      <c r="A71" s="124" t="s">
        <v>69</v>
      </c>
      <c r="B71" s="116"/>
      <c r="C71" s="117"/>
      <c r="D71" s="73">
        <f>'Gear Calc (Input Sheet)'!D18</f>
        <v>0.999</v>
      </c>
      <c r="E71" s="73">
        <f>D71</f>
        <v>0.999</v>
      </c>
      <c r="F71" s="86"/>
      <c r="G71" s="86"/>
      <c r="H71" s="86"/>
      <c r="I71" s="86"/>
      <c r="J71" s="119"/>
      <c r="K71" s="39"/>
      <c r="L71" s="39"/>
    </row>
    <row r="72" spans="1:12" ht="15" customHeight="1" x14ac:dyDescent="0.25">
      <c r="A72" s="124" t="s">
        <v>21</v>
      </c>
      <c r="B72" s="116" t="s">
        <v>167</v>
      </c>
      <c r="C72" s="117"/>
      <c r="D72" s="73">
        <f>VLOOKUP(D71,I53:J57,2,FALSE)</f>
        <v>1.25</v>
      </c>
      <c r="E72" s="73">
        <f>D72</f>
        <v>1.25</v>
      </c>
      <c r="F72" s="86"/>
      <c r="G72" s="86"/>
      <c r="H72" s="86"/>
      <c r="I72" s="86"/>
      <c r="J72" s="119"/>
      <c r="K72" s="39"/>
      <c r="L72" s="39"/>
    </row>
    <row r="73" spans="1:12" ht="15" customHeight="1" x14ac:dyDescent="0.25">
      <c r="A73" s="124" t="s">
        <v>68</v>
      </c>
      <c r="B73" s="116" t="s">
        <v>105</v>
      </c>
      <c r="C73" s="117"/>
      <c r="D73" s="126">
        <f>'Gear Calc (Input Sheet)'!D22</f>
        <v>1</v>
      </c>
      <c r="E73" s="126">
        <f>D73</f>
        <v>1</v>
      </c>
      <c r="F73" s="86"/>
      <c r="G73" s="86"/>
      <c r="H73" s="86"/>
      <c r="I73" s="86"/>
      <c r="J73" s="119"/>
      <c r="K73" s="39"/>
      <c r="L73" s="39"/>
    </row>
    <row r="74" spans="1:12" ht="15" customHeight="1" x14ac:dyDescent="0.25">
      <c r="A74" s="150" t="s">
        <v>48</v>
      </c>
      <c r="B74" s="151" t="s">
        <v>166</v>
      </c>
      <c r="C74" s="117" t="s">
        <v>46</v>
      </c>
      <c r="D74" s="153">
        <f>D39*D70/(D69*D73*D72)</f>
        <v>307.21722680122355</v>
      </c>
      <c r="E74" s="153">
        <f>E39*E70/(E69*E73*E72)</f>
        <v>267.89252172019781</v>
      </c>
      <c r="F74" s="86"/>
      <c r="G74" s="86"/>
      <c r="H74" s="86"/>
      <c r="I74" s="86"/>
      <c r="J74" s="119"/>
      <c r="K74" s="39"/>
      <c r="L74" s="39"/>
    </row>
    <row r="75" spans="1:12" ht="15" customHeight="1" x14ac:dyDescent="0.25">
      <c r="A75" s="120" t="s">
        <v>70</v>
      </c>
      <c r="B75" s="116" t="s">
        <v>168</v>
      </c>
      <c r="C75" s="117"/>
      <c r="D75" s="126">
        <v>1</v>
      </c>
      <c r="E75" s="126">
        <f>D75</f>
        <v>1</v>
      </c>
      <c r="F75" s="86"/>
      <c r="G75" s="86"/>
      <c r="H75" s="86"/>
      <c r="I75" s="86"/>
      <c r="J75" s="119"/>
      <c r="K75" s="39"/>
      <c r="L75" s="39"/>
    </row>
    <row r="76" spans="1:12" ht="15" customHeight="1" x14ac:dyDescent="0.25">
      <c r="A76" s="124" t="s">
        <v>91</v>
      </c>
      <c r="B76" s="116" t="s">
        <v>49</v>
      </c>
      <c r="C76" s="117"/>
      <c r="D76" s="127">
        <f>'Gear Calc (Input Sheet)'!D19</f>
        <v>0.8995150567925162</v>
      </c>
      <c r="E76" s="127">
        <f>'Gear Calc (Input Sheet)'!E19</f>
        <v>0.8995150567925162</v>
      </c>
      <c r="F76" s="86"/>
      <c r="G76" s="86"/>
      <c r="H76" s="86"/>
      <c r="I76" s="86"/>
      <c r="J76" s="119"/>
      <c r="K76" s="39"/>
      <c r="L76" s="39"/>
    </row>
    <row r="77" spans="1:12" ht="15" customHeight="1" x14ac:dyDescent="0.25">
      <c r="A77" s="120"/>
      <c r="B77" s="116" t="s">
        <v>156</v>
      </c>
      <c r="C77" s="117"/>
      <c r="D77" s="130">
        <f>E7/D7</f>
        <v>2</v>
      </c>
      <c r="E77" s="73"/>
      <c r="F77" s="86"/>
      <c r="G77" s="86"/>
      <c r="H77" s="86"/>
      <c r="I77" s="86"/>
      <c r="J77" s="119"/>
      <c r="K77" s="39"/>
      <c r="L77" s="39"/>
    </row>
    <row r="78" spans="1:12" ht="15" customHeight="1" x14ac:dyDescent="0.25">
      <c r="A78" s="120"/>
      <c r="B78" s="116" t="s">
        <v>134</v>
      </c>
      <c r="C78" s="117"/>
      <c r="D78" s="154">
        <f>8.98*10^-3*(D37/E37)-8.29*10^-3</f>
        <v>2.5948484848484863E-3</v>
      </c>
      <c r="E78" s="73"/>
      <c r="F78" s="86"/>
      <c r="G78" s="86"/>
      <c r="H78" s="86"/>
      <c r="I78" s="86"/>
      <c r="J78" s="119"/>
      <c r="K78" s="39"/>
      <c r="L78" s="39"/>
    </row>
    <row r="79" spans="1:12" ht="15" customHeight="1" x14ac:dyDescent="0.25">
      <c r="A79" s="124" t="s">
        <v>71</v>
      </c>
      <c r="B79" s="116" t="s">
        <v>157</v>
      </c>
      <c r="C79" s="117"/>
      <c r="D79" s="127">
        <f>1+D78*(D77-1)</f>
        <v>1.0025948484848486</v>
      </c>
      <c r="E79" s="127">
        <f>D79</f>
        <v>1.0025948484848486</v>
      </c>
      <c r="F79" s="86"/>
      <c r="G79" s="86"/>
      <c r="H79" s="86"/>
      <c r="I79" s="86"/>
      <c r="J79" s="119"/>
      <c r="K79" s="39"/>
      <c r="L79" s="39"/>
    </row>
    <row r="80" spans="1:12" ht="15" customHeight="1" x14ac:dyDescent="0.25">
      <c r="A80" s="150" t="s">
        <v>22</v>
      </c>
      <c r="B80" s="151" t="s">
        <v>158</v>
      </c>
      <c r="C80" s="117" t="s">
        <v>46</v>
      </c>
      <c r="D80" s="152">
        <f>D40*D76*D79/(D75*D73*D72)</f>
        <v>866.49667492140327</v>
      </c>
      <c r="E80" s="152">
        <f>E40*E76*E79/(E75*E73*E72)</f>
        <v>744.7831120077974</v>
      </c>
      <c r="F80" s="86"/>
      <c r="G80" s="86"/>
      <c r="H80" s="86"/>
      <c r="I80" s="86"/>
      <c r="J80" s="119"/>
      <c r="K80" s="39"/>
      <c r="L80" s="39"/>
    </row>
    <row r="81" spans="1:12" ht="15" customHeight="1" x14ac:dyDescent="0.25">
      <c r="A81" s="120"/>
      <c r="B81" s="116"/>
      <c r="C81" s="117"/>
      <c r="D81" s="73"/>
      <c r="E81" s="73"/>
      <c r="F81" s="86"/>
      <c r="G81" s="86"/>
      <c r="H81" s="86"/>
      <c r="I81" s="86"/>
      <c r="J81" s="119"/>
      <c r="K81" s="39"/>
      <c r="L81" s="39"/>
    </row>
    <row r="82" spans="1:12" ht="15" customHeight="1" x14ac:dyDescent="0.25">
      <c r="A82" s="150" t="s">
        <v>73</v>
      </c>
      <c r="B82" s="116"/>
      <c r="C82" s="117"/>
      <c r="D82" s="153">
        <f>D74/D61</f>
        <v>2.3357739124905255</v>
      </c>
      <c r="E82" s="153">
        <f>E74/E61</f>
        <v>2.3268943125002375</v>
      </c>
      <c r="F82" s="86"/>
      <c r="G82" s="86"/>
      <c r="H82" s="86"/>
      <c r="I82" s="86"/>
      <c r="J82" s="119"/>
      <c r="K82" s="39"/>
      <c r="L82" s="39"/>
    </row>
    <row r="83" spans="1:12" ht="15" customHeight="1" x14ac:dyDescent="0.25">
      <c r="A83" s="155" t="s">
        <v>72</v>
      </c>
      <c r="B83" s="156"/>
      <c r="C83" s="157"/>
      <c r="D83" s="158">
        <f>D80/D66</f>
        <v>1.0432886898650724</v>
      </c>
      <c r="E83" s="158">
        <f>E80/E66</f>
        <v>1.2681844305176779</v>
      </c>
      <c r="F83" s="159"/>
      <c r="G83" s="159"/>
      <c r="H83" s="159"/>
      <c r="I83" s="159"/>
      <c r="J83" s="160"/>
    </row>
  </sheetData>
  <sheetProtection formatCells="0" formatColumns="0"/>
  <pageMargins left="0.7" right="0.7" top="0.75" bottom="0.75" header="0.3" footer="0.3"/>
  <pageSetup paperSize="9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Gear Calc (Input Sheet)</vt:lpstr>
      <vt:lpstr>Gear Calc (Output Sheet)</vt:lpstr>
    </vt:vector>
  </TitlesOfParts>
  <Company>Rolls-Royce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santhosh</dc:creator>
  <cp:lastModifiedBy>Lenovo</cp:lastModifiedBy>
  <cp:lastPrinted>2011-01-22T10:26:11Z</cp:lastPrinted>
  <dcterms:created xsi:type="dcterms:W3CDTF">2004-03-04T22:01:38Z</dcterms:created>
  <dcterms:modified xsi:type="dcterms:W3CDTF">2019-04-22T08:58:15Z</dcterms:modified>
</cp:coreProperties>
</file>